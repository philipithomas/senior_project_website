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/>
  <workbookPr showInkAnnotation="0" autoCompressPictures="0"/>
  <bookViews>
    <workbookView xWindow="-20" yWindow="0" windowWidth="27780" windowHeight="17560" tabRatio="500" activeTab="3"/>
  </bookViews>
  <sheets>
    <sheet name="Employee Hours" sheetId="1" r:id="rId1"/>
    <sheet name="Employee Availability" sheetId="3" r:id="rId2"/>
    <sheet name="Employee Preference" sheetId="5" r:id="rId3"/>
    <sheet name="Assignments" sheetId="2" r:id="rId4"/>
  </sheets>
  <definedNames>
    <definedName name="solver_adj" localSheetId="3" hidden="1">Assignments!$C$6:$T$9</definedName>
    <definedName name="solver_con6" localSheetId="3" hidden="1">Assignments!$A$1</definedName>
    <definedName name="solver_cvg" localSheetId="3" hidden="1">0.0001</definedName>
    <definedName name="solver_cvg" localSheetId="0" hidden="1">0.0001</definedName>
    <definedName name="solver_dia" localSheetId="3" hidden="1">5</definedName>
    <definedName name="solver_drv" localSheetId="3" hidden="1">1</definedName>
    <definedName name="solver_drv" localSheetId="0" hidden="1">1</definedName>
    <definedName name="solver_eng" localSheetId="3" hidden="1">1</definedName>
    <definedName name="solver_eng" localSheetId="0" hidden="1">1</definedName>
    <definedName name="solver_iao" localSheetId="3" hidden="1">0</definedName>
    <definedName name="solver_ism" localSheetId="3" hidden="1">0</definedName>
    <definedName name="solver_itr" localSheetId="3" hidden="1">2147483647</definedName>
    <definedName name="solver_itr" localSheetId="0" hidden="1">2147483647</definedName>
    <definedName name="solver_lhs1" localSheetId="3" hidden="1">Assignments!$C$18:$T$21</definedName>
    <definedName name="solver_lhs2" localSheetId="3" hidden="1">Assignments!$C$5:$T$5</definedName>
    <definedName name="solver_lhs3" localSheetId="3" hidden="1">Assignments!$C$6:$T$9</definedName>
    <definedName name="solver_lhs4" localSheetId="3" hidden="1">Assignments!$U$6:$U$9</definedName>
    <definedName name="solver_lhs4" localSheetId="1" hidden="1">'Employee Availability'!$C$6:$AR$9</definedName>
    <definedName name="solver_lhs5" localSheetId="3" hidden="1">Assignments!$U$6:$U$9</definedName>
    <definedName name="solver_lhs6" localSheetId="3" hidden="1">Assignments!$C$6:$AR$9</definedName>
    <definedName name="solver_lin" localSheetId="3" hidden="1">2</definedName>
    <definedName name="solver_lin" localSheetId="0" hidden="1">2</definedName>
    <definedName name="solver_mda" localSheetId="3" hidden="1">4</definedName>
    <definedName name="solver_mip" localSheetId="3" hidden="1">2147483647</definedName>
    <definedName name="solver_mip" localSheetId="0" hidden="1">2147483647</definedName>
    <definedName name="solver_mni" localSheetId="3" hidden="1">30</definedName>
    <definedName name="solver_mni" localSheetId="0" hidden="1">30</definedName>
    <definedName name="solver_mod" localSheetId="3" hidden="1">1</definedName>
    <definedName name="solver_mrt" localSheetId="3" hidden="1">0.075</definedName>
    <definedName name="solver_mrt" localSheetId="0" hidden="1">0.075</definedName>
    <definedName name="solver_msl" localSheetId="3" hidden="1">2</definedName>
    <definedName name="solver_msl" localSheetId="0" hidden="1">2</definedName>
    <definedName name="solver_neg" localSheetId="3" hidden="1">1</definedName>
    <definedName name="solver_neg" localSheetId="0" hidden="1">1</definedName>
    <definedName name="solver_nod" localSheetId="3" hidden="1">2147483647</definedName>
    <definedName name="solver_nod" localSheetId="0" hidden="1">2147483647</definedName>
    <definedName name="solver_ntr" localSheetId="3" hidden="1">2</definedName>
    <definedName name="solver_num" localSheetId="3" hidden="1">5</definedName>
    <definedName name="solver_num" localSheetId="1" hidden="1">4</definedName>
    <definedName name="solver_num" localSheetId="0" hidden="1">0</definedName>
    <definedName name="solver_opt" localSheetId="3" hidden="1">Assignments!$C$10</definedName>
    <definedName name="solver_pre" localSheetId="3" hidden="1">0.000001</definedName>
    <definedName name="solver_pre" localSheetId="0" hidden="1">0.000001</definedName>
    <definedName name="solver_rbv" localSheetId="3" hidden="1">1</definedName>
    <definedName name="solver_rbv" localSheetId="0" hidden="1">1</definedName>
    <definedName name="solver_rel1" localSheetId="3" hidden="1">1</definedName>
    <definedName name="solver_rel2" localSheetId="3" hidden="1">3</definedName>
    <definedName name="solver_rel3" localSheetId="3" hidden="1">5</definedName>
    <definedName name="solver_rel4" localSheetId="3" hidden="1">1</definedName>
    <definedName name="solver_rel4" localSheetId="1" hidden="1">5</definedName>
    <definedName name="solver_rel5" localSheetId="3" hidden="1">3</definedName>
    <definedName name="solver_rel6" localSheetId="3" hidden="1">5</definedName>
    <definedName name="solver_rhs1" localSheetId="3" hidden="1">Assignments!$C$23:$T$26</definedName>
    <definedName name="solver_rhs2" localSheetId="3" hidden="1">Assignments!$C$4:$T$4</definedName>
    <definedName name="solver_rhs3" localSheetId="3" hidden="1">binary</definedName>
    <definedName name="solver_rhs4" localSheetId="3" hidden="1">Assignments!$W$6:$W$9</definedName>
    <definedName name="solver_rhs5" localSheetId="3" hidden="1">Assignments!$V$6:$V$9</definedName>
    <definedName name="solver_rhs6" localSheetId="3" hidden="1">binary</definedName>
    <definedName name="solver_rlx" localSheetId="3" hidden="1">2</definedName>
    <definedName name="solver_rlx" localSheetId="0" hidden="1">1</definedName>
    <definedName name="solver_rsd" localSheetId="3" hidden="1">0</definedName>
    <definedName name="solver_rsd" localSheetId="0" hidden="1">0</definedName>
    <definedName name="solver_rxc1" localSheetId="3" hidden="1">1</definedName>
    <definedName name="solver_rxc2" localSheetId="3" hidden="1">1</definedName>
    <definedName name="solver_rxc3" localSheetId="3" hidden="1">1</definedName>
    <definedName name="solver_rxc3" localSheetId="1" hidden="1">1</definedName>
    <definedName name="solver_rxc4" localSheetId="3" hidden="1">1</definedName>
    <definedName name="solver_rxc4" localSheetId="1" hidden="1">1</definedName>
    <definedName name="solver_rxc5" localSheetId="3" hidden="1">1</definedName>
    <definedName name="solver_rxc6" localSheetId="3" hidden="1">1</definedName>
    <definedName name="solver_rxv" localSheetId="3" hidden="1">1</definedName>
    <definedName name="solver_scl" localSheetId="3" hidden="1">1</definedName>
    <definedName name="solver_scl" localSheetId="0" hidden="1">2</definedName>
    <definedName name="solver_sel" localSheetId="3" hidden="1">1</definedName>
    <definedName name="solver_sho" localSheetId="3" hidden="1">2</definedName>
    <definedName name="solver_sho" localSheetId="0" hidden="1">2</definedName>
    <definedName name="solver_ssz" localSheetId="3" hidden="1">100</definedName>
    <definedName name="solver_ssz" localSheetId="0" hidden="1">100</definedName>
    <definedName name="solver_tim" localSheetId="3" hidden="1">2147483647</definedName>
    <definedName name="solver_tim" localSheetId="0" hidden="1">2147483647</definedName>
    <definedName name="solver_tol" localSheetId="3" hidden="1">0.01</definedName>
    <definedName name="solver_tol" localSheetId="0" hidden="1">0.01</definedName>
    <definedName name="solver_typ" localSheetId="3" hidden="1">1</definedName>
    <definedName name="solver_typ" localSheetId="0" hidden="1">1</definedName>
    <definedName name="solver_val" localSheetId="3" hidden="1">0</definedName>
    <definedName name="solver_val" localSheetId="0" hidden="1">0</definedName>
    <definedName name="solver_ver" localSheetId="3" hidden="1">2</definedName>
    <definedName name="solver_ver" localSheetId="0" hidden="1">2</definedName>
    <definedName name="solver_vol" localSheetId="3" hidden="1">0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7" i="1" l="1"/>
  <c r="B7" i="1"/>
  <c r="W6" i="5"/>
  <c r="X6" i="5"/>
  <c r="W7" i="5"/>
  <c r="X7" i="5"/>
  <c r="W8" i="5"/>
  <c r="X8" i="5"/>
  <c r="X5" i="5"/>
  <c r="W5" i="5"/>
  <c r="U7" i="2"/>
  <c r="D4" i="1"/>
  <c r="U8" i="2"/>
  <c r="D5" i="1"/>
  <c r="U9" i="2"/>
  <c r="D6" i="1"/>
  <c r="U6" i="2"/>
  <c r="D3" i="1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G18" i="2"/>
  <c r="F18" i="2"/>
  <c r="E18" i="2"/>
  <c r="C18" i="2"/>
  <c r="D18" i="2"/>
  <c r="I18" i="2"/>
  <c r="J18" i="2"/>
  <c r="K18" i="2"/>
  <c r="L18" i="2"/>
  <c r="M18" i="2"/>
  <c r="N18" i="2"/>
  <c r="O18" i="2"/>
  <c r="P18" i="2"/>
  <c r="Q18" i="2"/>
  <c r="R18" i="2"/>
  <c r="S18" i="2"/>
  <c r="T18" i="2"/>
  <c r="H18" i="2"/>
  <c r="C5" i="2"/>
  <c r="V6" i="2"/>
  <c r="W6" i="2"/>
  <c r="W7" i="2"/>
  <c r="W8" i="2"/>
  <c r="W9" i="2"/>
  <c r="V7" i="2"/>
  <c r="V8" i="2"/>
  <c r="V9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C12" i="2"/>
  <c r="U6" i="5"/>
  <c r="V6" i="5"/>
  <c r="U7" i="5"/>
  <c r="V7" i="5"/>
  <c r="U8" i="5"/>
  <c r="V8" i="5"/>
  <c r="U5" i="5"/>
  <c r="V5" i="5"/>
  <c r="U6" i="3"/>
  <c r="U7" i="3"/>
  <c r="U8" i="3"/>
  <c r="U5" i="3"/>
  <c r="U4" i="2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A5" i="1"/>
  <c r="A6" i="1"/>
  <c r="A4" i="1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C10" i="2"/>
</calcChain>
</file>

<file path=xl/comments1.xml><?xml version="1.0" encoding="utf-8"?>
<comments xmlns="http://schemas.openxmlformats.org/spreadsheetml/2006/main">
  <authors>
    <author>Philip Thomas</author>
  </authors>
  <commentList>
    <comment ref="C5" authorId="0">
      <text>
        <r>
          <rPr>
            <sz val="9"/>
            <color indexed="81"/>
            <rFont val="Calibri"/>
            <family val="2"/>
          </rPr>
          <t xml:space="preserve">Modify these to set employee availability
</t>
        </r>
      </text>
    </comment>
  </commentList>
</comments>
</file>

<file path=xl/comments2.xml><?xml version="1.0" encoding="utf-8"?>
<comments xmlns="http://schemas.openxmlformats.org/spreadsheetml/2006/main">
  <authors>
    <author>Philip Thomas</author>
  </authors>
  <commentList>
    <comment ref="C5" authorId="0">
      <text>
        <r>
          <rPr>
            <sz val="9"/>
            <color indexed="81"/>
            <rFont val="Calibri"/>
            <family val="2"/>
          </rPr>
          <t xml:space="preserve">Modify these values to change preferred shifts. Note that prefernece is only considered if an employee is available during that shift.
</t>
        </r>
      </text>
    </comment>
  </commentList>
</comments>
</file>

<file path=xl/comments3.xml><?xml version="1.0" encoding="utf-8"?>
<comments xmlns="http://schemas.openxmlformats.org/spreadsheetml/2006/main">
  <authors>
    <author>Philip Thomas</author>
  </authors>
  <commentList>
    <comment ref="C6" authorId="0">
      <text>
        <r>
          <rPr>
            <sz val="9"/>
            <color indexed="81"/>
            <rFont val="Calibri"/>
            <family val="2"/>
          </rPr>
          <t>This is the computed work schedule</t>
        </r>
      </text>
    </comment>
  </commentList>
</comments>
</file>

<file path=xl/sharedStrings.xml><?xml version="1.0" encoding="utf-8"?>
<sst xmlns="http://schemas.openxmlformats.org/spreadsheetml/2006/main" count="96" uniqueCount="33">
  <si>
    <t>Employee</t>
  </si>
  <si>
    <t>SUM</t>
  </si>
  <si>
    <t>4AM-8AM</t>
  </si>
  <si>
    <t>8AM-Noon</t>
  </si>
  <si>
    <t>Sunday</t>
  </si>
  <si>
    <t>Monday</t>
  </si>
  <si>
    <t>Tuesday</t>
  </si>
  <si>
    <t>Readable Shift</t>
  </si>
  <si>
    <t>12AM-4AM</t>
  </si>
  <si>
    <t>Noon-4PM</t>
  </si>
  <si>
    <t>4PM-8PM</t>
  </si>
  <si>
    <t>8PM-12AM</t>
  </si>
  <si>
    <t>Required Employees</t>
  </si>
  <si>
    <t>Employee Working?</t>
  </si>
  <si>
    <t>Max</t>
  </si>
  <si>
    <t>Min</t>
  </si>
  <si>
    <t>Shifts/Week</t>
  </si>
  <si>
    <t>Weighted Preference</t>
  </si>
  <si>
    <t>Day of Week</t>
  </si>
  <si>
    <t>Shift of Day</t>
  </si>
  <si>
    <t>Alpha</t>
  </si>
  <si>
    <t>Beta</t>
  </si>
  <si>
    <t>Pref</t>
  </si>
  <si>
    <t>Neg</t>
  </si>
  <si>
    <t>Objective Function</t>
  </si>
  <si>
    <t>Count</t>
  </si>
  <si>
    <t>Prefix</t>
  </si>
  <si>
    <t>Working</t>
  </si>
  <si>
    <t>LB</t>
  </si>
  <si>
    <t>UB</t>
  </si>
  <si>
    <t>Shift limit per day</t>
  </si>
  <si>
    <t>Scheduled to work</t>
  </si>
  <si>
    <t>Number of shifts working in last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</si>
</sst>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2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  <font>
      <i/>
      <sz val="12"/>
      <color theme="1"/>
      <name val="Calibri"/>
      <scheme val="minor"/>
    </font>
    <font>
      <b/>
      <i/>
      <sz val="12"/>
      <color theme="1"/>
      <name val="Calibri"/>
      <scheme val="minor"/>
    </font>
    <font>
      <sz val="9"/>
      <color indexed="8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E26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</fills>
  <borders count="1">
    <border>
      <left/>
      <right/>
      <top/>
      <bottom/>
      <diagonal/>
    </border>
  </borders>
  <cellStyleXfs count="5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1">
    <xf numFmtId="0" fontId="0" fillId="0" borderId="0" xfId="0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6" fillId="8" borderId="0" xfId="0" applyFont="1" applyFill="1"/>
    <xf numFmtId="0" fontId="3" fillId="8" borderId="0" xfId="0" applyFont="1" applyFill="1"/>
    <xf numFmtId="0" fontId="3" fillId="0" borderId="0" xfId="0" applyFont="1"/>
    <xf numFmtId="0" fontId="7" fillId="8" borderId="0" xfId="0" applyFont="1" applyFill="1"/>
    <xf numFmtId="0" fontId="3" fillId="11" borderId="0" xfId="0" applyFont="1" applyFill="1"/>
    <xf numFmtId="0" fontId="1" fillId="2" borderId="0" xfId="1"/>
    <xf numFmtId="0" fontId="2" fillId="3" borderId="0" xfId="2"/>
    <xf numFmtId="0" fontId="0" fillId="4" borderId="0" xfId="0" applyFill="1"/>
    <xf numFmtId="0" fontId="7" fillId="0" borderId="0" xfId="0" applyFont="1"/>
    <xf numFmtId="0" fontId="0" fillId="14" borderId="0" xfId="0" applyFill="1"/>
    <xf numFmtId="0" fontId="0" fillId="0" borderId="0" xfId="0" applyAlignment="1">
      <alignment horizontal="center"/>
    </xf>
    <xf numFmtId="0" fontId="6" fillId="5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3" fillId="12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0" fillId="0" borderId="0" xfId="0" applyFill="1"/>
    <xf numFmtId="0" fontId="3" fillId="0" borderId="0" xfId="0" applyFont="1" applyFill="1"/>
    <xf numFmtId="0" fontId="6" fillId="0" borderId="0" xfId="0" applyFont="1" applyFill="1"/>
    <xf numFmtId="0" fontId="7" fillId="0" borderId="0" xfId="0" applyFont="1" applyFill="1"/>
    <xf numFmtId="0" fontId="1" fillId="0" borderId="0" xfId="1" applyFill="1"/>
    <xf numFmtId="0" fontId="2" fillId="0" borderId="0" xfId="2" applyFill="1"/>
    <xf numFmtId="0" fontId="8" fillId="0" borderId="0" xfId="0" applyFont="1" applyFill="1"/>
    <xf numFmtId="0" fontId="0" fillId="8" borderId="0" xfId="0" applyFont="1" applyFill="1"/>
  </cellXfs>
  <cellStyles count="59">
    <cellStyle name="Bad" xfId="2" builtinId="27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Good" xfId="1" builtinId="26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6"/>
  <sheetViews>
    <sheetView workbookViewId="0">
      <selection activeCell="F9" sqref="F9"/>
    </sheetView>
  </sheetViews>
  <sheetFormatPr baseColWidth="10" defaultRowHeight="15" x14ac:dyDescent="0"/>
  <sheetData>
    <row r="1" spans="1:4">
      <c r="B1" s="15" t="s">
        <v>16</v>
      </c>
      <c r="C1" s="15"/>
    </row>
    <row r="2" spans="1:4">
      <c r="A2" t="s">
        <v>0</v>
      </c>
      <c r="B2" s="14" t="s">
        <v>15</v>
      </c>
      <c r="C2" s="14" t="s">
        <v>14</v>
      </c>
      <c r="D2" s="13" t="s">
        <v>31</v>
      </c>
    </row>
    <row r="3" spans="1:4">
      <c r="A3" s="14">
        <v>1</v>
      </c>
      <c r="B3" s="12">
        <v>8</v>
      </c>
      <c r="C3" s="12">
        <v>12</v>
      </c>
      <c r="D3" s="13">
        <f>Assignments!U6</f>
        <v>12</v>
      </c>
    </row>
    <row r="4" spans="1:4">
      <c r="A4" s="14">
        <f>1+A3</f>
        <v>2</v>
      </c>
      <c r="B4" s="12">
        <v>8</v>
      </c>
      <c r="C4" s="12">
        <v>12</v>
      </c>
      <c r="D4" s="13">
        <f>Assignments!U7</f>
        <v>12</v>
      </c>
    </row>
    <row r="5" spans="1:4">
      <c r="A5" s="14">
        <f t="shared" ref="A5:A14" si="0">1+A4</f>
        <v>3</v>
      </c>
      <c r="B5" s="12">
        <v>8</v>
      </c>
      <c r="C5" s="12">
        <v>12</v>
      </c>
      <c r="D5" s="13">
        <f>Assignments!U8</f>
        <v>11</v>
      </c>
    </row>
    <row r="6" spans="1:4">
      <c r="A6" s="14">
        <f t="shared" si="0"/>
        <v>4</v>
      </c>
      <c r="B6" s="12">
        <v>4</v>
      </c>
      <c r="C6" s="12">
        <v>8</v>
      </c>
      <c r="D6" s="13">
        <f>Assignments!U9</f>
        <v>8</v>
      </c>
    </row>
    <row r="7" spans="1:4">
      <c r="A7" s="23" t="s">
        <v>1</v>
      </c>
      <c r="B7" s="23">
        <f>SUM(B3:B6)</f>
        <v>28</v>
      </c>
      <c r="C7" s="23">
        <f>SUM(C3:C6)</f>
        <v>44</v>
      </c>
      <c r="D7" s="26"/>
    </row>
    <row r="8" spans="1:4">
      <c r="A8" s="23"/>
      <c r="D8" s="26"/>
    </row>
    <row r="9" spans="1:4">
      <c r="A9" s="23"/>
      <c r="B9" s="23"/>
      <c r="C9" s="23"/>
      <c r="D9" s="26"/>
    </row>
    <row r="10" spans="1:4">
      <c r="A10" s="23"/>
      <c r="B10" s="23"/>
      <c r="C10" s="23"/>
      <c r="D10" s="26"/>
    </row>
    <row r="11" spans="1:4">
      <c r="A11" s="23"/>
      <c r="B11" s="23"/>
      <c r="C11" s="23"/>
      <c r="D11" s="26"/>
    </row>
    <row r="12" spans="1:4">
      <c r="A12" s="23"/>
      <c r="B12" s="23"/>
      <c r="C12" s="23"/>
      <c r="D12" s="26"/>
    </row>
    <row r="13" spans="1:4">
      <c r="A13" s="23"/>
      <c r="B13" s="23"/>
      <c r="C13" s="23"/>
      <c r="D13" s="26"/>
    </row>
    <row r="14" spans="1:4">
      <c r="A14" s="23"/>
      <c r="B14" s="23"/>
      <c r="C14" s="23"/>
      <c r="D14" s="26"/>
    </row>
    <row r="15" spans="1:4">
      <c r="A15" s="23"/>
      <c r="B15" s="23"/>
      <c r="C15" s="23"/>
      <c r="D15" s="26"/>
    </row>
    <row r="16" spans="1:4">
      <c r="A16" s="23"/>
      <c r="B16" s="23"/>
      <c r="C16" s="23"/>
      <c r="D16" s="23"/>
    </row>
  </sheetData>
  <mergeCells count="1">
    <mergeCell ref="B1:C1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S17"/>
  <sheetViews>
    <sheetView workbookViewId="0">
      <selection activeCell="I13" sqref="I13"/>
    </sheetView>
  </sheetViews>
  <sheetFormatPr baseColWidth="10" defaultRowHeight="15" x14ac:dyDescent="0"/>
  <cols>
    <col min="3" max="44" width="3.5" customWidth="1"/>
  </cols>
  <sheetData>
    <row r="1" spans="1:45">
      <c r="A1" t="s">
        <v>18</v>
      </c>
      <c r="C1" s="16" t="s">
        <v>4</v>
      </c>
      <c r="D1" s="16"/>
      <c r="E1" s="16"/>
      <c r="F1" s="16"/>
      <c r="G1" s="16"/>
      <c r="H1" s="16"/>
      <c r="I1" s="17" t="s">
        <v>5</v>
      </c>
      <c r="J1" s="17"/>
      <c r="K1" s="17"/>
      <c r="L1" s="17"/>
      <c r="M1" s="17"/>
      <c r="N1" s="17"/>
      <c r="O1" s="16" t="s">
        <v>6</v>
      </c>
      <c r="P1" s="16"/>
      <c r="Q1" s="16"/>
      <c r="R1" s="16"/>
      <c r="S1" s="16"/>
      <c r="T1" s="16"/>
      <c r="U1" s="21"/>
      <c r="V1" s="21"/>
      <c r="W1" s="21"/>
      <c r="X1" s="21"/>
      <c r="Y1" s="21"/>
      <c r="Z1" s="21"/>
      <c r="AA1" s="22"/>
      <c r="AB1" s="22"/>
      <c r="AC1" s="22"/>
      <c r="AD1" s="22"/>
      <c r="AE1" s="22"/>
      <c r="AF1" s="22"/>
      <c r="AG1" s="21"/>
      <c r="AH1" s="21"/>
      <c r="AI1" s="21"/>
      <c r="AJ1" s="21"/>
      <c r="AK1" s="21"/>
      <c r="AL1" s="21"/>
      <c r="AM1" s="22"/>
      <c r="AN1" s="22"/>
      <c r="AO1" s="22"/>
      <c r="AP1" s="22"/>
      <c r="AQ1" s="22"/>
      <c r="AR1" s="22"/>
      <c r="AS1" s="23"/>
    </row>
    <row r="2" spans="1:45">
      <c r="A2" t="s">
        <v>19</v>
      </c>
      <c r="C2" s="1">
        <v>1</v>
      </c>
      <c r="D2" s="1">
        <f>MOD(C2,6)+1</f>
        <v>2</v>
      </c>
      <c r="E2" s="3">
        <f t="shared" ref="E2:AR2" si="0">MOD(D2,6)+1</f>
        <v>3</v>
      </c>
      <c r="F2" s="3">
        <f t="shared" si="0"/>
        <v>4</v>
      </c>
      <c r="G2" s="3">
        <f t="shared" si="0"/>
        <v>5</v>
      </c>
      <c r="H2" s="1">
        <f t="shared" si="0"/>
        <v>6</v>
      </c>
      <c r="I2" s="1">
        <f t="shared" si="0"/>
        <v>1</v>
      </c>
      <c r="J2" s="1">
        <f t="shared" si="0"/>
        <v>2</v>
      </c>
      <c r="K2" s="3">
        <f t="shared" si="0"/>
        <v>3</v>
      </c>
      <c r="L2" s="3">
        <f t="shared" si="0"/>
        <v>4</v>
      </c>
      <c r="M2" s="3">
        <f t="shared" si="0"/>
        <v>5</v>
      </c>
      <c r="N2" s="1">
        <f t="shared" si="0"/>
        <v>6</v>
      </c>
      <c r="O2" s="1">
        <f t="shared" si="0"/>
        <v>1</v>
      </c>
      <c r="P2" s="1">
        <f t="shared" si="0"/>
        <v>2</v>
      </c>
      <c r="Q2" s="3">
        <f t="shared" si="0"/>
        <v>3</v>
      </c>
      <c r="R2" s="3">
        <f t="shared" si="0"/>
        <v>4</v>
      </c>
      <c r="S2" s="3">
        <f t="shared" si="0"/>
        <v>5</v>
      </c>
      <c r="T2" s="1">
        <f t="shared" si="0"/>
        <v>6</v>
      </c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</row>
    <row r="3" spans="1:45">
      <c r="A3" s="2" t="s">
        <v>7</v>
      </c>
      <c r="B3" s="2"/>
      <c r="C3" s="2" t="s">
        <v>8</v>
      </c>
      <c r="D3" s="2" t="s">
        <v>2</v>
      </c>
      <c r="E3" s="2" t="s">
        <v>3</v>
      </c>
      <c r="F3" s="2" t="s">
        <v>9</v>
      </c>
      <c r="G3" s="2" t="s">
        <v>10</v>
      </c>
      <c r="H3" s="2" t="s">
        <v>11</v>
      </c>
      <c r="I3" s="2" t="s">
        <v>8</v>
      </c>
      <c r="J3" s="2" t="s">
        <v>2</v>
      </c>
      <c r="K3" s="2" t="s">
        <v>3</v>
      </c>
      <c r="L3" s="2" t="s">
        <v>9</v>
      </c>
      <c r="M3" s="2" t="s">
        <v>10</v>
      </c>
      <c r="N3" s="2" t="s">
        <v>11</v>
      </c>
      <c r="O3" s="2" t="s">
        <v>8</v>
      </c>
      <c r="P3" s="2" t="s">
        <v>2</v>
      </c>
      <c r="Q3" s="2" t="s">
        <v>3</v>
      </c>
      <c r="R3" s="2" t="s">
        <v>9</v>
      </c>
      <c r="S3" s="2" t="s">
        <v>10</v>
      </c>
      <c r="T3" s="2" t="s">
        <v>11</v>
      </c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</row>
    <row r="4" spans="1:45">
      <c r="B4" s="8" t="s">
        <v>0</v>
      </c>
      <c r="C4" s="2"/>
      <c r="D4" s="2"/>
      <c r="E4" s="2"/>
      <c r="F4" s="2"/>
      <c r="G4" s="2"/>
      <c r="H4" s="2"/>
      <c r="I4" s="2"/>
      <c r="J4" s="2"/>
      <c r="U4" s="23" t="s">
        <v>1</v>
      </c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</row>
    <row r="5" spans="1:45">
      <c r="A5" s="7"/>
      <c r="B5" s="4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0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25">
        <f>SUM(C5:T5)</f>
        <v>17</v>
      </c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</row>
    <row r="6" spans="1:45">
      <c r="B6" s="4">
        <v>2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0</v>
      </c>
      <c r="T6" s="5">
        <v>1</v>
      </c>
      <c r="U6" s="25">
        <f t="shared" ref="U6:U8" si="1">SUM(C6:T6)</f>
        <v>17</v>
      </c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</row>
    <row r="7" spans="1:45">
      <c r="B7" s="4">
        <v>3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25">
        <f t="shared" si="1"/>
        <v>18</v>
      </c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</row>
    <row r="8" spans="1:45">
      <c r="B8" s="4">
        <v>4</v>
      </c>
      <c r="C8" s="5">
        <v>1</v>
      </c>
      <c r="D8" s="5">
        <v>0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0</v>
      </c>
      <c r="R8" s="5">
        <v>1</v>
      </c>
      <c r="S8" s="5">
        <v>1</v>
      </c>
      <c r="T8" s="5">
        <v>1</v>
      </c>
      <c r="U8" s="25">
        <f t="shared" si="1"/>
        <v>16</v>
      </c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</row>
    <row r="9" spans="1:45">
      <c r="B9" s="23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</row>
    <row r="10" spans="1:45">
      <c r="B10" s="23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</row>
    <row r="11" spans="1:45">
      <c r="B11" s="23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</row>
    <row r="12" spans="1:45">
      <c r="B12" s="23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</row>
    <row r="13" spans="1:45">
      <c r="B13" s="23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</row>
    <row r="14" spans="1:45">
      <c r="B14" s="23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</row>
    <row r="15" spans="1:45">
      <c r="B15" s="23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</row>
    <row r="16" spans="1:45">
      <c r="B16" s="23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</row>
    <row r="17" spans="2:45">
      <c r="B17" s="23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</row>
  </sheetData>
  <mergeCells count="7">
    <mergeCell ref="AM1:AR1"/>
    <mergeCell ref="C1:H1"/>
    <mergeCell ref="I1:N1"/>
    <mergeCell ref="O1:T1"/>
    <mergeCell ref="U1:Z1"/>
    <mergeCell ref="AA1:AF1"/>
    <mergeCell ref="AG1:AL1"/>
  </mergeCells>
  <conditionalFormatting sqref="C5:AS17">
    <cfRule type="cellIs" dxfId="12" priority="1" operator="equal">
      <formula>1</formula>
    </cfRule>
  </conditionalFormatting>
  <pageMargins left="0.75" right="0.75" top="1" bottom="1" header="0.5" footer="0.5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W17"/>
  <sheetViews>
    <sheetView workbookViewId="0">
      <selection activeCell="AG15" sqref="AG15"/>
    </sheetView>
  </sheetViews>
  <sheetFormatPr baseColWidth="10" defaultRowHeight="15" x14ac:dyDescent="0"/>
  <cols>
    <col min="3" max="20" width="3.5" customWidth="1"/>
    <col min="21" max="22" width="3.5" style="23" customWidth="1"/>
    <col min="23" max="23" width="7.33203125" style="23" customWidth="1"/>
    <col min="24" max="24" width="8" style="23" customWidth="1"/>
    <col min="25" max="44" width="3.5" style="23" customWidth="1"/>
    <col min="45" max="48" width="6.1640625" customWidth="1"/>
  </cols>
  <sheetData>
    <row r="1" spans="1:49">
      <c r="A1" t="s">
        <v>18</v>
      </c>
      <c r="C1" s="16" t="s">
        <v>4</v>
      </c>
      <c r="D1" s="16"/>
      <c r="E1" s="16"/>
      <c r="F1" s="16"/>
      <c r="G1" s="16"/>
      <c r="H1" s="16"/>
      <c r="I1" s="17" t="s">
        <v>5</v>
      </c>
      <c r="J1" s="17"/>
      <c r="K1" s="17"/>
      <c r="L1" s="17"/>
      <c r="M1" s="17"/>
      <c r="N1" s="17"/>
      <c r="O1" s="16" t="s">
        <v>6</v>
      </c>
      <c r="P1" s="16"/>
      <c r="Q1" s="16"/>
      <c r="R1" s="16"/>
      <c r="S1" s="16"/>
      <c r="T1" s="16"/>
      <c r="U1" s="21"/>
      <c r="V1" s="21"/>
      <c r="W1" s="21"/>
      <c r="X1" s="21"/>
      <c r="Y1" s="21"/>
      <c r="Z1" s="21"/>
      <c r="AA1" s="22"/>
      <c r="AB1" s="22"/>
      <c r="AC1" s="22"/>
      <c r="AD1" s="22"/>
      <c r="AE1" s="22"/>
      <c r="AF1" s="22"/>
      <c r="AG1" s="21"/>
      <c r="AH1" s="21"/>
      <c r="AI1" s="21"/>
      <c r="AJ1" s="21"/>
      <c r="AK1" s="21"/>
      <c r="AL1" s="21"/>
      <c r="AM1" s="22"/>
      <c r="AN1" s="22"/>
      <c r="AO1" s="22"/>
      <c r="AP1" s="22"/>
      <c r="AQ1" s="22"/>
      <c r="AR1" s="22"/>
      <c r="AS1" s="23"/>
      <c r="AT1" s="23"/>
      <c r="AU1" s="23"/>
      <c r="AV1" s="23"/>
      <c r="AW1" s="23"/>
    </row>
    <row r="2" spans="1:49">
      <c r="A2" t="s">
        <v>19</v>
      </c>
      <c r="C2" s="1">
        <v>1</v>
      </c>
      <c r="D2" s="1">
        <f>MOD(C2,6)+1</f>
        <v>2</v>
      </c>
      <c r="E2" s="3">
        <f t="shared" ref="E2:AR2" si="0">MOD(D2,6)+1</f>
        <v>3</v>
      </c>
      <c r="F2" s="3">
        <f t="shared" si="0"/>
        <v>4</v>
      </c>
      <c r="G2" s="3">
        <f t="shared" si="0"/>
        <v>5</v>
      </c>
      <c r="H2" s="1">
        <f t="shared" si="0"/>
        <v>6</v>
      </c>
      <c r="I2" s="1">
        <f t="shared" si="0"/>
        <v>1</v>
      </c>
      <c r="J2" s="1">
        <f t="shared" si="0"/>
        <v>2</v>
      </c>
      <c r="K2" s="3">
        <f t="shared" si="0"/>
        <v>3</v>
      </c>
      <c r="L2" s="3">
        <f t="shared" si="0"/>
        <v>4</v>
      </c>
      <c r="M2" s="3">
        <f t="shared" si="0"/>
        <v>5</v>
      </c>
      <c r="N2" s="1">
        <f t="shared" si="0"/>
        <v>6</v>
      </c>
      <c r="O2" s="1">
        <f t="shared" si="0"/>
        <v>1</v>
      </c>
      <c r="P2" s="1">
        <f t="shared" si="0"/>
        <v>2</v>
      </c>
      <c r="Q2" s="3">
        <f t="shared" si="0"/>
        <v>3</v>
      </c>
      <c r="R2" s="3">
        <f t="shared" si="0"/>
        <v>4</v>
      </c>
      <c r="S2" s="3">
        <f t="shared" si="0"/>
        <v>5</v>
      </c>
      <c r="T2" s="1">
        <f t="shared" si="0"/>
        <v>6</v>
      </c>
      <c r="AS2" s="23"/>
      <c r="AT2" s="23"/>
      <c r="AU2" s="23"/>
      <c r="AV2" s="23"/>
      <c r="AW2" s="23"/>
    </row>
    <row r="3" spans="1:49">
      <c r="A3" s="2" t="s">
        <v>7</v>
      </c>
      <c r="B3" s="2"/>
      <c r="C3" s="2" t="s">
        <v>8</v>
      </c>
      <c r="D3" s="2" t="s">
        <v>2</v>
      </c>
      <c r="E3" s="2" t="s">
        <v>3</v>
      </c>
      <c r="F3" s="2" t="s">
        <v>9</v>
      </c>
      <c r="G3" s="2" t="s">
        <v>10</v>
      </c>
      <c r="H3" s="2" t="s">
        <v>11</v>
      </c>
      <c r="I3" s="2" t="s">
        <v>8</v>
      </c>
      <c r="J3" s="2" t="s">
        <v>2</v>
      </c>
      <c r="K3" s="2" t="s">
        <v>3</v>
      </c>
      <c r="L3" s="2" t="s">
        <v>9</v>
      </c>
      <c r="M3" s="2" t="s">
        <v>10</v>
      </c>
      <c r="N3" s="2" t="s">
        <v>11</v>
      </c>
      <c r="O3" s="2" t="s">
        <v>8</v>
      </c>
      <c r="P3" s="2" t="s">
        <v>2</v>
      </c>
      <c r="Q3" s="2" t="s">
        <v>3</v>
      </c>
      <c r="R3" s="2" t="s">
        <v>9</v>
      </c>
      <c r="S3" s="2" t="s">
        <v>10</v>
      </c>
      <c r="T3" s="2" t="s">
        <v>11</v>
      </c>
      <c r="U3" s="18" t="s">
        <v>25</v>
      </c>
      <c r="V3" s="18"/>
      <c r="W3" s="19" t="s">
        <v>26</v>
      </c>
      <c r="X3" s="19"/>
      <c r="AS3" s="21"/>
      <c r="AT3" s="21"/>
      <c r="AU3" s="21"/>
      <c r="AV3" s="21"/>
      <c r="AW3" s="23"/>
    </row>
    <row r="4" spans="1:49">
      <c r="B4" s="8" t="s">
        <v>0</v>
      </c>
      <c r="C4" s="2"/>
      <c r="D4" s="2"/>
      <c r="E4" s="2"/>
      <c r="F4" s="2"/>
      <c r="G4" s="2"/>
      <c r="H4" s="2"/>
      <c r="I4" s="2"/>
      <c r="J4" s="2"/>
      <c r="U4" s="10" t="s">
        <v>20</v>
      </c>
      <c r="V4" s="11" t="s">
        <v>21</v>
      </c>
      <c r="W4" s="10" t="s">
        <v>22</v>
      </c>
      <c r="X4" s="11" t="s">
        <v>23</v>
      </c>
      <c r="AS4" s="27"/>
      <c r="AT4" s="28"/>
      <c r="AU4" s="27"/>
      <c r="AV4" s="28"/>
      <c r="AW4" s="23"/>
    </row>
    <row r="5" spans="1:49">
      <c r="A5" s="7"/>
      <c r="B5" s="4">
        <v>1</v>
      </c>
      <c r="C5" s="5">
        <v>0</v>
      </c>
      <c r="D5" s="5">
        <v>0</v>
      </c>
      <c r="E5" s="5">
        <v>1</v>
      </c>
      <c r="F5" s="5">
        <v>1</v>
      </c>
      <c r="G5" s="5">
        <v>1</v>
      </c>
      <c r="H5" s="5">
        <v>1</v>
      </c>
      <c r="I5" s="5">
        <v>0</v>
      </c>
      <c r="J5" s="5">
        <v>0</v>
      </c>
      <c r="K5" s="5">
        <v>1</v>
      </c>
      <c r="L5" s="5">
        <v>1</v>
      </c>
      <c r="M5" s="5">
        <v>1</v>
      </c>
      <c r="N5" s="5">
        <v>1</v>
      </c>
      <c r="O5" s="5">
        <v>0</v>
      </c>
      <c r="P5" s="5">
        <v>0</v>
      </c>
      <c r="Q5" s="5">
        <v>1</v>
      </c>
      <c r="R5" s="5">
        <v>1</v>
      </c>
      <c r="S5" s="5">
        <v>1</v>
      </c>
      <c r="T5" s="5">
        <v>1</v>
      </c>
      <c r="U5" s="25">
        <f>SUMPRODUCT(C5:T5,'Employee Availability'!C5:T5)</f>
        <v>12</v>
      </c>
      <c r="V5" s="25">
        <f>'Employee Availability'!U5-'Employee Preference'!U5</f>
        <v>5</v>
      </c>
      <c r="W5" s="25">
        <f>IF(OR(U5=0,V5=0),0,V5/(U5+V5))</f>
        <v>0.29411764705882354</v>
      </c>
      <c r="X5" s="25">
        <f>IF(OR(U5=0,V5=0),0,W5*U5/V5)</f>
        <v>0.70588235294117641</v>
      </c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3"/>
      <c r="AT5" s="23"/>
      <c r="AU5" s="23"/>
      <c r="AV5" s="23"/>
      <c r="AW5" s="23"/>
    </row>
    <row r="6" spans="1:49">
      <c r="B6" s="4">
        <v>2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0</v>
      </c>
      <c r="T6" s="5">
        <v>0</v>
      </c>
      <c r="U6" s="25">
        <f>SUMPRODUCT(C6:T6,'Employee Availability'!C6:T6)</f>
        <v>16</v>
      </c>
      <c r="V6" s="25">
        <f>'Employee Availability'!U6-'Employee Preference'!U6</f>
        <v>1</v>
      </c>
      <c r="W6" s="25">
        <f t="shared" ref="W6:W8" si="1">IF(OR(U6=0,V6=0),0,V6/(U6+V6))</f>
        <v>5.8823529411764705E-2</v>
      </c>
      <c r="X6" s="25">
        <f t="shared" ref="X6:X8" si="2">IF(OR(U6=0,V6=0),0,W6*U6/V6)</f>
        <v>0.94117647058823528</v>
      </c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3"/>
      <c r="AT6" s="23"/>
      <c r="AU6" s="23"/>
      <c r="AV6" s="23"/>
      <c r="AW6" s="23"/>
    </row>
    <row r="7" spans="1:49">
      <c r="B7" s="4">
        <v>3</v>
      </c>
      <c r="C7" s="5">
        <v>1</v>
      </c>
      <c r="D7" s="5">
        <v>1</v>
      </c>
      <c r="E7" s="5">
        <v>0</v>
      </c>
      <c r="F7" s="5">
        <v>0</v>
      </c>
      <c r="G7" s="5">
        <v>0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0</v>
      </c>
      <c r="N7" s="5">
        <v>0</v>
      </c>
      <c r="O7" s="5">
        <v>0</v>
      </c>
      <c r="P7" s="5">
        <v>0</v>
      </c>
      <c r="Q7" s="5">
        <v>1</v>
      </c>
      <c r="R7" s="5">
        <v>1</v>
      </c>
      <c r="S7" s="5">
        <v>1</v>
      </c>
      <c r="T7" s="5">
        <v>1</v>
      </c>
      <c r="U7" s="25">
        <f>SUMPRODUCT(C7:T7,'Employee Availability'!C7:T7)</f>
        <v>11</v>
      </c>
      <c r="V7" s="25">
        <f>'Employee Availability'!U7-'Employee Preference'!U7</f>
        <v>7</v>
      </c>
      <c r="W7" s="25">
        <f t="shared" si="1"/>
        <v>0.3888888888888889</v>
      </c>
      <c r="X7" s="25">
        <f t="shared" si="2"/>
        <v>0.61111111111111105</v>
      </c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3"/>
      <c r="AT7" s="23"/>
      <c r="AU7" s="23"/>
      <c r="AV7" s="23"/>
      <c r="AW7" s="23"/>
    </row>
    <row r="8" spans="1:49">
      <c r="B8" s="4">
        <v>4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0</v>
      </c>
      <c r="I8" s="5">
        <v>0</v>
      </c>
      <c r="J8" s="5">
        <v>0</v>
      </c>
      <c r="K8" s="5">
        <v>0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0</v>
      </c>
      <c r="S8" s="5">
        <v>0</v>
      </c>
      <c r="T8" s="5">
        <v>0</v>
      </c>
      <c r="U8" s="25">
        <f>SUMPRODUCT(C8:T8,'Employee Availability'!C8:T8)</f>
        <v>9</v>
      </c>
      <c r="V8" s="25">
        <f>'Employee Availability'!U8-'Employee Preference'!U8</f>
        <v>7</v>
      </c>
      <c r="W8" s="25">
        <f t="shared" si="1"/>
        <v>0.4375</v>
      </c>
      <c r="X8" s="25">
        <f t="shared" si="2"/>
        <v>0.5625</v>
      </c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3"/>
      <c r="AT8" s="23"/>
      <c r="AU8" s="23"/>
      <c r="AV8" s="23"/>
      <c r="AW8" s="23"/>
    </row>
    <row r="9" spans="1:49">
      <c r="B9" s="23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3"/>
      <c r="AT9" s="23"/>
      <c r="AU9" s="23"/>
      <c r="AV9" s="23"/>
      <c r="AW9" s="23"/>
    </row>
    <row r="10" spans="1:49">
      <c r="B10" s="23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3"/>
      <c r="AT10" s="23"/>
      <c r="AU10" s="23"/>
      <c r="AV10" s="23"/>
      <c r="AW10" s="23"/>
    </row>
    <row r="11" spans="1:49">
      <c r="B11" s="23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3"/>
      <c r="AT11" s="23"/>
      <c r="AU11" s="23"/>
      <c r="AV11" s="23"/>
      <c r="AW11" s="23"/>
    </row>
    <row r="12" spans="1:49">
      <c r="B12" s="23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3"/>
      <c r="AT12" s="23"/>
      <c r="AU12" s="23"/>
      <c r="AV12" s="23"/>
      <c r="AW12" s="23"/>
    </row>
    <row r="13" spans="1:49">
      <c r="B13" s="23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3"/>
      <c r="AT13" s="23"/>
      <c r="AU13" s="23"/>
      <c r="AV13" s="23"/>
      <c r="AW13" s="23"/>
    </row>
    <row r="14" spans="1:49">
      <c r="B14" s="23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3"/>
      <c r="AT14" s="23"/>
      <c r="AU14" s="23"/>
      <c r="AV14" s="23"/>
      <c r="AW14" s="23"/>
    </row>
    <row r="15" spans="1:49">
      <c r="B15" s="23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3"/>
      <c r="AT15" s="23"/>
      <c r="AU15" s="23"/>
      <c r="AV15" s="23"/>
    </row>
    <row r="16" spans="1:49">
      <c r="B16" s="23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3"/>
      <c r="AT16" s="23"/>
      <c r="AU16" s="23"/>
      <c r="AV16" s="23"/>
    </row>
    <row r="17" spans="2:48">
      <c r="B17" s="23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3"/>
      <c r="AT17" s="23"/>
      <c r="AU17" s="23"/>
      <c r="AV17" s="23"/>
    </row>
  </sheetData>
  <mergeCells count="11">
    <mergeCell ref="AM1:AR1"/>
    <mergeCell ref="AS3:AT3"/>
    <mergeCell ref="AU3:AV3"/>
    <mergeCell ref="C1:H1"/>
    <mergeCell ref="I1:N1"/>
    <mergeCell ref="O1:T1"/>
    <mergeCell ref="U1:Z1"/>
    <mergeCell ref="AA1:AF1"/>
    <mergeCell ref="AG1:AL1"/>
    <mergeCell ref="U3:V3"/>
    <mergeCell ref="W3:X3"/>
  </mergeCells>
  <conditionalFormatting sqref="C9:AR17 C5:T8 Y5:AR8">
    <cfRule type="cellIs" dxfId="11" priority="1" operator="equal">
      <formula>1</formula>
    </cfRule>
  </conditionalFormatting>
  <pageMargins left="0.75" right="0.75" top="1" bottom="1" header="0.5" footer="0.5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U110"/>
  <sheetViews>
    <sheetView tabSelected="1" workbookViewId="0">
      <selection activeCell="A19" sqref="A19"/>
    </sheetView>
  </sheetViews>
  <sheetFormatPr baseColWidth="10" defaultRowHeight="15" x14ac:dyDescent="0"/>
  <cols>
    <col min="1" max="1" width="17.33203125" customWidth="1"/>
    <col min="2" max="2" width="17" customWidth="1"/>
    <col min="3" max="44" width="3.83203125" customWidth="1"/>
  </cols>
  <sheetData>
    <row r="1" spans="1:47">
      <c r="A1" t="s">
        <v>18</v>
      </c>
      <c r="C1" s="16" t="s">
        <v>4</v>
      </c>
      <c r="D1" s="16"/>
      <c r="E1" s="16"/>
      <c r="F1" s="16"/>
      <c r="G1" s="16"/>
      <c r="H1" s="16"/>
      <c r="I1" s="17" t="s">
        <v>5</v>
      </c>
      <c r="J1" s="17"/>
      <c r="K1" s="17"/>
      <c r="L1" s="17"/>
      <c r="M1" s="17"/>
      <c r="N1" s="17"/>
      <c r="O1" s="16" t="s">
        <v>6</v>
      </c>
      <c r="P1" s="16"/>
      <c r="Q1" s="16"/>
      <c r="R1" s="16"/>
      <c r="S1" s="16"/>
      <c r="T1" s="16"/>
      <c r="U1" s="21"/>
      <c r="V1" s="21"/>
      <c r="W1" s="21"/>
      <c r="X1" s="21"/>
      <c r="Y1" s="21"/>
      <c r="Z1" s="21"/>
      <c r="AA1" s="22"/>
      <c r="AB1" s="22"/>
      <c r="AC1" s="22"/>
      <c r="AD1" s="22"/>
      <c r="AE1" s="22"/>
      <c r="AF1" s="22"/>
      <c r="AG1" s="21"/>
      <c r="AH1" s="21"/>
      <c r="AI1" s="21"/>
      <c r="AJ1" s="21"/>
      <c r="AK1" s="21"/>
      <c r="AL1" s="21"/>
      <c r="AM1" s="22"/>
      <c r="AN1" s="22"/>
      <c r="AO1" s="22"/>
      <c r="AP1" s="22"/>
      <c r="AQ1" s="22"/>
      <c r="AR1" s="22"/>
    </row>
    <row r="2" spans="1:47">
      <c r="A2" t="s">
        <v>19</v>
      </c>
      <c r="C2" s="1">
        <v>1</v>
      </c>
      <c r="D2" s="1">
        <f>MOD(C2,6)+1</f>
        <v>2</v>
      </c>
      <c r="E2" s="3">
        <f t="shared" ref="E2:T2" si="0">MOD(D2,6)+1</f>
        <v>3</v>
      </c>
      <c r="F2" s="3">
        <f t="shared" si="0"/>
        <v>4</v>
      </c>
      <c r="G2" s="3">
        <f t="shared" si="0"/>
        <v>5</v>
      </c>
      <c r="H2" s="1">
        <f t="shared" si="0"/>
        <v>6</v>
      </c>
      <c r="I2" s="1">
        <f t="shared" si="0"/>
        <v>1</v>
      </c>
      <c r="J2" s="1">
        <f t="shared" si="0"/>
        <v>2</v>
      </c>
      <c r="K2" s="3">
        <f t="shared" si="0"/>
        <v>3</v>
      </c>
      <c r="L2" s="3">
        <f t="shared" si="0"/>
        <v>4</v>
      </c>
      <c r="M2" s="3">
        <f t="shared" si="0"/>
        <v>5</v>
      </c>
      <c r="N2" s="1">
        <f t="shared" si="0"/>
        <v>6</v>
      </c>
      <c r="O2" s="1">
        <f t="shared" si="0"/>
        <v>1</v>
      </c>
      <c r="P2" s="1">
        <f t="shared" si="0"/>
        <v>2</v>
      </c>
      <c r="Q2" s="3">
        <f t="shared" si="0"/>
        <v>3</v>
      </c>
      <c r="R2" s="3">
        <f t="shared" si="0"/>
        <v>4</v>
      </c>
      <c r="S2" s="3">
        <f t="shared" si="0"/>
        <v>5</v>
      </c>
      <c r="T2" s="1">
        <f t="shared" si="0"/>
        <v>6</v>
      </c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</row>
    <row r="3" spans="1:47" s="2" customFormat="1">
      <c r="A3" s="2" t="s">
        <v>7</v>
      </c>
      <c r="C3" s="2" t="s">
        <v>8</v>
      </c>
      <c r="D3" s="2" t="s">
        <v>2</v>
      </c>
      <c r="E3" s="2" t="s">
        <v>3</v>
      </c>
      <c r="F3" s="2" t="s">
        <v>9</v>
      </c>
      <c r="G3" s="2" t="s">
        <v>10</v>
      </c>
      <c r="H3" s="2" t="s">
        <v>11</v>
      </c>
      <c r="I3" s="2" t="s">
        <v>8</v>
      </c>
      <c r="J3" s="2" t="s">
        <v>2</v>
      </c>
      <c r="K3" s="2" t="s">
        <v>3</v>
      </c>
      <c r="L3" s="2" t="s">
        <v>9</v>
      </c>
      <c r="M3" s="2" t="s">
        <v>10</v>
      </c>
      <c r="N3" s="2" t="s">
        <v>11</v>
      </c>
      <c r="O3" s="2" t="s">
        <v>8</v>
      </c>
      <c r="P3" s="2" t="s">
        <v>2</v>
      </c>
      <c r="Q3" s="2" t="s">
        <v>3</v>
      </c>
      <c r="R3" s="2" t="s">
        <v>9</v>
      </c>
      <c r="S3" s="2" t="s">
        <v>10</v>
      </c>
      <c r="T3" s="2" t="s">
        <v>11</v>
      </c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</row>
    <row r="4" spans="1:47" s="7" customFormat="1">
      <c r="A4" s="6" t="s">
        <v>12</v>
      </c>
      <c r="C4" s="6">
        <v>2</v>
      </c>
      <c r="D4" s="6">
        <v>2</v>
      </c>
      <c r="E4" s="6">
        <v>3</v>
      </c>
      <c r="F4" s="6">
        <v>2</v>
      </c>
      <c r="G4" s="6">
        <v>2</v>
      </c>
      <c r="H4" s="6">
        <v>2</v>
      </c>
      <c r="I4" s="6">
        <v>2</v>
      </c>
      <c r="J4" s="6">
        <v>2</v>
      </c>
      <c r="K4" s="6">
        <v>3</v>
      </c>
      <c r="L4" s="6">
        <v>2</v>
      </c>
      <c r="M4" s="6">
        <v>2</v>
      </c>
      <c r="N4" s="6">
        <v>2</v>
      </c>
      <c r="O4" s="6">
        <v>2</v>
      </c>
      <c r="P4" s="6">
        <v>2</v>
      </c>
      <c r="Q4" s="6">
        <v>3</v>
      </c>
      <c r="R4" s="6">
        <v>2</v>
      </c>
      <c r="S4" s="6">
        <v>2</v>
      </c>
      <c r="T4" s="6">
        <v>2</v>
      </c>
      <c r="U4" s="24">
        <f>SUM(C4:T4)</f>
        <v>39</v>
      </c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</row>
    <row r="5" spans="1:47">
      <c r="B5" s="8" t="s">
        <v>27</v>
      </c>
      <c r="C5" s="8">
        <f>SUM(C6:C9)</f>
        <v>2</v>
      </c>
      <c r="D5" s="8">
        <f>SUM(D6:D9)</f>
        <v>2</v>
      </c>
      <c r="E5" s="8">
        <f>SUM(E6:E9)</f>
        <v>4</v>
      </c>
      <c r="F5" s="8">
        <f>SUM(F6:F9)</f>
        <v>3</v>
      </c>
      <c r="G5" s="8">
        <f>SUM(G6:G9)</f>
        <v>2</v>
      </c>
      <c r="H5" s="8">
        <f>SUM(H6:H9)</f>
        <v>2</v>
      </c>
      <c r="I5" s="8">
        <f>SUM(I6:I9)</f>
        <v>2</v>
      </c>
      <c r="J5" s="8">
        <f>SUM(J6:J9)</f>
        <v>2</v>
      </c>
      <c r="K5" s="8">
        <f>SUM(K6:K9)</f>
        <v>3</v>
      </c>
      <c r="L5" s="8">
        <f>SUM(L6:L9)</f>
        <v>2</v>
      </c>
      <c r="M5" s="8">
        <f>SUM(M6:M9)</f>
        <v>2</v>
      </c>
      <c r="N5" s="8">
        <f>SUM(N6:N9)</f>
        <v>3</v>
      </c>
      <c r="O5" s="8">
        <f>SUM(O6:O9)</f>
        <v>2</v>
      </c>
      <c r="P5" s="8">
        <f>SUM(P6:P9)</f>
        <v>3</v>
      </c>
      <c r="Q5" s="8">
        <f>SUM(Q6:Q9)</f>
        <v>3</v>
      </c>
      <c r="R5" s="8">
        <f>SUM(R6:R9)</f>
        <v>2</v>
      </c>
      <c r="S5" s="8">
        <f>SUM(S6:S9)</f>
        <v>2</v>
      </c>
      <c r="T5" s="8">
        <f>SUM(T6:T9)</f>
        <v>2</v>
      </c>
      <c r="U5" s="30">
        <f>SUM(C5:T5)</f>
        <v>43</v>
      </c>
      <c r="V5" s="29" t="s">
        <v>28</v>
      </c>
      <c r="W5" s="29" t="s">
        <v>29</v>
      </c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</row>
    <row r="6" spans="1:47">
      <c r="A6" s="7" t="s">
        <v>13</v>
      </c>
      <c r="B6" s="4">
        <v>1</v>
      </c>
      <c r="C6" s="5">
        <v>0</v>
      </c>
      <c r="D6" s="5">
        <v>0</v>
      </c>
      <c r="E6" s="5">
        <v>1</v>
      </c>
      <c r="F6" s="5">
        <v>1</v>
      </c>
      <c r="G6" s="5">
        <v>1</v>
      </c>
      <c r="H6" s="5">
        <v>1</v>
      </c>
      <c r="I6" s="5">
        <v>0</v>
      </c>
      <c r="J6" s="5">
        <v>0</v>
      </c>
      <c r="K6" s="5">
        <v>1</v>
      </c>
      <c r="L6" s="5">
        <v>1</v>
      </c>
      <c r="M6" s="5">
        <v>1</v>
      </c>
      <c r="N6" s="5">
        <v>1</v>
      </c>
      <c r="O6" s="5">
        <v>0</v>
      </c>
      <c r="P6" s="5">
        <v>0</v>
      </c>
      <c r="Q6" s="5">
        <v>1</v>
      </c>
      <c r="R6" s="5">
        <v>1</v>
      </c>
      <c r="S6" s="5">
        <v>1</v>
      </c>
      <c r="T6" s="5">
        <v>1</v>
      </c>
      <c r="U6" s="30">
        <f t="shared" ref="U6:U9" si="1">SUM(C6:T6)</f>
        <v>12</v>
      </c>
      <c r="V6" s="8">
        <f>'Employee Hours'!B3</f>
        <v>8</v>
      </c>
      <c r="W6" s="8">
        <f>'Employee Hours'!C3</f>
        <v>12</v>
      </c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3"/>
      <c r="AT6" s="23"/>
      <c r="AU6" s="23"/>
    </row>
    <row r="7" spans="1:47">
      <c r="B7" s="4">
        <v>2</v>
      </c>
      <c r="C7" s="5">
        <v>1</v>
      </c>
      <c r="D7" s="5">
        <v>1</v>
      </c>
      <c r="E7" s="5">
        <v>1</v>
      </c>
      <c r="F7" s="5">
        <v>1</v>
      </c>
      <c r="G7" s="5">
        <v>0</v>
      </c>
      <c r="H7" s="5">
        <v>0</v>
      </c>
      <c r="I7" s="5">
        <v>1</v>
      </c>
      <c r="J7" s="5">
        <v>1</v>
      </c>
      <c r="K7" s="5">
        <v>1</v>
      </c>
      <c r="L7" s="5">
        <v>1</v>
      </c>
      <c r="M7" s="5">
        <v>0</v>
      </c>
      <c r="N7" s="5">
        <v>0</v>
      </c>
      <c r="O7" s="5">
        <v>1</v>
      </c>
      <c r="P7" s="5">
        <v>1</v>
      </c>
      <c r="Q7" s="5">
        <v>1</v>
      </c>
      <c r="R7" s="5">
        <v>1</v>
      </c>
      <c r="S7" s="5">
        <v>0</v>
      </c>
      <c r="T7" s="5">
        <v>0</v>
      </c>
      <c r="U7" s="30">
        <f t="shared" si="1"/>
        <v>12</v>
      </c>
      <c r="V7" s="8">
        <f>'Employee Hours'!B4</f>
        <v>8</v>
      </c>
      <c r="W7" s="8">
        <f>'Employee Hours'!C4</f>
        <v>12</v>
      </c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3"/>
      <c r="AT7" s="23"/>
      <c r="AU7" s="23"/>
    </row>
    <row r="8" spans="1:47">
      <c r="B8" s="4">
        <v>3</v>
      </c>
      <c r="C8" s="5">
        <v>0</v>
      </c>
      <c r="D8" s="5">
        <v>1</v>
      </c>
      <c r="E8" s="5">
        <v>1</v>
      </c>
      <c r="F8" s="5">
        <v>0</v>
      </c>
      <c r="G8" s="5">
        <v>0</v>
      </c>
      <c r="H8" s="5">
        <v>1</v>
      </c>
      <c r="I8" s="5">
        <v>1</v>
      </c>
      <c r="J8" s="5">
        <v>1</v>
      </c>
      <c r="K8" s="5">
        <v>1</v>
      </c>
      <c r="L8" s="5">
        <v>0</v>
      </c>
      <c r="M8" s="5">
        <v>0</v>
      </c>
      <c r="N8" s="5">
        <v>1</v>
      </c>
      <c r="O8" s="5">
        <v>0</v>
      </c>
      <c r="P8" s="5">
        <v>1</v>
      </c>
      <c r="Q8" s="5">
        <v>1</v>
      </c>
      <c r="R8" s="5">
        <v>0</v>
      </c>
      <c r="S8" s="5">
        <v>1</v>
      </c>
      <c r="T8" s="5">
        <v>1</v>
      </c>
      <c r="U8" s="30">
        <f t="shared" si="1"/>
        <v>11</v>
      </c>
      <c r="V8" s="8">
        <f>'Employee Hours'!B5</f>
        <v>8</v>
      </c>
      <c r="W8" s="8">
        <f>'Employee Hours'!C5</f>
        <v>12</v>
      </c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3"/>
      <c r="AT8" s="23"/>
      <c r="AU8" s="23"/>
    </row>
    <row r="9" spans="1:47">
      <c r="B9" s="4">
        <v>4</v>
      </c>
      <c r="C9" s="5">
        <v>1</v>
      </c>
      <c r="D9" s="5">
        <v>0</v>
      </c>
      <c r="E9" s="5">
        <v>1</v>
      </c>
      <c r="F9" s="5">
        <v>1</v>
      </c>
      <c r="G9" s="5">
        <v>1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1</v>
      </c>
      <c r="N9" s="5">
        <v>1</v>
      </c>
      <c r="O9" s="5">
        <v>1</v>
      </c>
      <c r="P9" s="5">
        <v>1</v>
      </c>
      <c r="Q9" s="5">
        <v>0</v>
      </c>
      <c r="R9" s="5">
        <v>0</v>
      </c>
      <c r="S9" s="5">
        <v>0</v>
      </c>
      <c r="T9" s="5">
        <v>0</v>
      </c>
      <c r="U9" s="30">
        <f t="shared" si="1"/>
        <v>8</v>
      </c>
      <c r="V9" s="8">
        <f>'Employee Hours'!B6</f>
        <v>4</v>
      </c>
      <c r="W9" s="8">
        <f>'Employee Hours'!C6</f>
        <v>8</v>
      </c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3"/>
      <c r="AT9" s="23"/>
      <c r="AU9" s="23"/>
    </row>
    <row r="10" spans="1:47">
      <c r="B10" s="9" t="s">
        <v>24</v>
      </c>
      <c r="C10" s="20">
        <f>SUMPRODUCT(C6:T9,C12:T15)</f>
        <v>52.013071895424815</v>
      </c>
      <c r="D10" s="20"/>
      <c r="E10" s="20"/>
      <c r="F10" s="20"/>
      <c r="G10" s="20"/>
      <c r="H10" s="20"/>
      <c r="I10" s="20"/>
      <c r="J10" s="20"/>
      <c r="K10" s="20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</row>
    <row r="11" spans="1:47"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</row>
    <row r="12" spans="1:47">
      <c r="A12" s="7" t="s">
        <v>17</v>
      </c>
      <c r="B12" s="4">
        <v>1</v>
      </c>
      <c r="C12">
        <f>'Employee Availability'!C5 * IF('Employee Preference'!C5&gt;0,1+'Employee Preference'!$W5,1-'Employee Preference'!$X5)</f>
        <v>0.29411764705882359</v>
      </c>
      <c r="D12">
        <f>'Employee Availability'!D5 * IF('Employee Preference'!D5&gt;0,1+'Employee Preference'!$W5,1-'Employee Preference'!$X5)</f>
        <v>0.29411764705882359</v>
      </c>
      <c r="E12">
        <f>'Employee Availability'!E5 * IF('Employee Preference'!E5&gt;0,1+'Employee Preference'!$W5,1-'Employee Preference'!$X5)</f>
        <v>1.2941176470588236</v>
      </c>
      <c r="F12">
        <f>'Employee Availability'!F5 * IF('Employee Preference'!F5&gt;0,1+'Employee Preference'!$W5,1-'Employee Preference'!$X5)</f>
        <v>1.2941176470588236</v>
      </c>
      <c r="G12">
        <f>'Employee Availability'!G5 * IF('Employee Preference'!G5&gt;0,1+'Employee Preference'!$W5,1-'Employee Preference'!$X5)</f>
        <v>1.2941176470588236</v>
      </c>
      <c r="H12">
        <f>'Employee Availability'!H5 * IF('Employee Preference'!H5&gt;0,1+'Employee Preference'!$W5,1-'Employee Preference'!$X5)</f>
        <v>1.2941176470588236</v>
      </c>
      <c r="I12">
        <f>'Employee Availability'!I5 * IF('Employee Preference'!I5&gt;0,1+'Employee Preference'!$W5,1-'Employee Preference'!$X5)</f>
        <v>0</v>
      </c>
      <c r="J12">
        <f>'Employee Availability'!J5 * IF('Employee Preference'!J5&gt;0,1+'Employee Preference'!$W5,1-'Employee Preference'!$X5)</f>
        <v>0.29411764705882359</v>
      </c>
      <c r="K12">
        <f>'Employee Availability'!K5 * IF('Employee Preference'!K5&gt;0,1+'Employee Preference'!$W5,1-'Employee Preference'!$X5)</f>
        <v>1.2941176470588236</v>
      </c>
      <c r="L12">
        <f>'Employee Availability'!L5 * IF('Employee Preference'!L5&gt;0,1+'Employee Preference'!$W5,1-'Employee Preference'!$X5)</f>
        <v>1.2941176470588236</v>
      </c>
      <c r="M12">
        <f>'Employee Availability'!M5 * IF('Employee Preference'!M5&gt;0,1+'Employee Preference'!$W5,1-'Employee Preference'!$X5)</f>
        <v>1.2941176470588236</v>
      </c>
      <c r="N12">
        <f>'Employee Availability'!N5 * IF('Employee Preference'!N5&gt;0,1+'Employee Preference'!$W5,1-'Employee Preference'!$X5)</f>
        <v>1.2941176470588236</v>
      </c>
      <c r="O12">
        <f>'Employee Availability'!O5 * IF('Employee Preference'!O5&gt;0,1+'Employee Preference'!$W5,1-'Employee Preference'!$X5)</f>
        <v>0.29411764705882359</v>
      </c>
      <c r="P12">
        <f>'Employee Availability'!P5 * IF('Employee Preference'!P5&gt;0,1+'Employee Preference'!$W5,1-'Employee Preference'!$X5)</f>
        <v>0.29411764705882359</v>
      </c>
      <c r="Q12">
        <f>'Employee Availability'!Q5 * IF('Employee Preference'!Q5&gt;0,1+'Employee Preference'!$W5,1-'Employee Preference'!$X5)</f>
        <v>1.2941176470588236</v>
      </c>
      <c r="R12">
        <f>'Employee Availability'!R5 * IF('Employee Preference'!R5&gt;0,1+'Employee Preference'!$W5,1-'Employee Preference'!$X5)</f>
        <v>1.2941176470588236</v>
      </c>
      <c r="S12">
        <f>'Employee Availability'!S5 * IF('Employee Preference'!S5&gt;0,1+'Employee Preference'!$W5,1-'Employee Preference'!$X5)</f>
        <v>1.2941176470588236</v>
      </c>
      <c r="T12">
        <f>'Employee Availability'!T5 * IF('Employee Preference'!T5&gt;0,1+'Employee Preference'!$W5,1-'Employee Preference'!$X5)</f>
        <v>1.2941176470588236</v>
      </c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</row>
    <row r="13" spans="1:47">
      <c r="B13" s="4">
        <v>2</v>
      </c>
      <c r="C13">
        <f>'Employee Availability'!C6 * IF('Employee Preference'!C6&gt;0,1+'Employee Preference'!$W6,1-'Employee Preference'!$X6)</f>
        <v>1.0588235294117647</v>
      </c>
      <c r="D13">
        <f>'Employee Availability'!D6 * IF('Employee Preference'!D6&gt;0,1+'Employee Preference'!$W6,1-'Employee Preference'!$X6)</f>
        <v>1.0588235294117647</v>
      </c>
      <c r="E13">
        <f>'Employee Availability'!E6 * IF('Employee Preference'!E6&gt;0,1+'Employee Preference'!$W6,1-'Employee Preference'!$X6)</f>
        <v>1.0588235294117647</v>
      </c>
      <c r="F13">
        <f>'Employee Availability'!F6 * IF('Employee Preference'!F6&gt;0,1+'Employee Preference'!$W6,1-'Employee Preference'!$X6)</f>
        <v>1.0588235294117647</v>
      </c>
      <c r="G13">
        <f>'Employee Availability'!G6 * IF('Employee Preference'!G6&gt;0,1+'Employee Preference'!$W6,1-'Employee Preference'!$X6)</f>
        <v>1.0588235294117647</v>
      </c>
      <c r="H13">
        <f>'Employee Availability'!H6 * IF('Employee Preference'!H6&gt;0,1+'Employee Preference'!$W6,1-'Employee Preference'!$X6)</f>
        <v>1.0588235294117647</v>
      </c>
      <c r="I13">
        <f>'Employee Availability'!I6 * IF('Employee Preference'!I6&gt;0,1+'Employee Preference'!$W6,1-'Employee Preference'!$X6)</f>
        <v>1.0588235294117647</v>
      </c>
      <c r="J13">
        <f>'Employee Availability'!J6 * IF('Employee Preference'!J6&gt;0,1+'Employee Preference'!$W6,1-'Employee Preference'!$X6)</f>
        <v>1.0588235294117647</v>
      </c>
      <c r="K13">
        <f>'Employee Availability'!K6 * IF('Employee Preference'!K6&gt;0,1+'Employee Preference'!$W6,1-'Employee Preference'!$X6)</f>
        <v>1.0588235294117647</v>
      </c>
      <c r="L13">
        <f>'Employee Availability'!L6 * IF('Employee Preference'!L6&gt;0,1+'Employee Preference'!$W6,1-'Employee Preference'!$X6)</f>
        <v>1.0588235294117647</v>
      </c>
      <c r="M13">
        <f>'Employee Availability'!M6 * IF('Employee Preference'!M6&gt;0,1+'Employee Preference'!$W6,1-'Employee Preference'!$X6)</f>
        <v>1.0588235294117647</v>
      </c>
      <c r="N13">
        <f>'Employee Availability'!N6 * IF('Employee Preference'!N6&gt;0,1+'Employee Preference'!$W6,1-'Employee Preference'!$X6)</f>
        <v>1.0588235294117647</v>
      </c>
      <c r="O13">
        <f>'Employee Availability'!O6 * IF('Employee Preference'!O6&gt;0,1+'Employee Preference'!$W6,1-'Employee Preference'!$X6)</f>
        <v>1.0588235294117647</v>
      </c>
      <c r="P13">
        <f>'Employee Availability'!P6 * IF('Employee Preference'!P6&gt;0,1+'Employee Preference'!$W6,1-'Employee Preference'!$X6)</f>
        <v>1.0588235294117647</v>
      </c>
      <c r="Q13">
        <f>'Employee Availability'!Q6 * IF('Employee Preference'!Q6&gt;0,1+'Employee Preference'!$W6,1-'Employee Preference'!$X6)</f>
        <v>1.0588235294117647</v>
      </c>
      <c r="R13">
        <f>'Employee Availability'!R6 * IF('Employee Preference'!R6&gt;0,1+'Employee Preference'!$W6,1-'Employee Preference'!$X6)</f>
        <v>1.0588235294117647</v>
      </c>
      <c r="S13">
        <f>'Employee Availability'!S6 * IF('Employee Preference'!S6&gt;0,1+'Employee Preference'!$W6,1-'Employee Preference'!$X6)</f>
        <v>0</v>
      </c>
      <c r="T13">
        <f>'Employee Availability'!T6 * IF('Employee Preference'!T6&gt;0,1+'Employee Preference'!$W6,1-'Employee Preference'!$X6)</f>
        <v>5.8823529411764719E-2</v>
      </c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</row>
    <row r="14" spans="1:47">
      <c r="B14" s="4">
        <v>3</v>
      </c>
      <c r="C14">
        <f>'Employee Availability'!C7 * IF('Employee Preference'!C7&gt;0,1+'Employee Preference'!$W7,1-'Employee Preference'!$X7)</f>
        <v>1.3888888888888888</v>
      </c>
      <c r="D14">
        <f>'Employee Availability'!D7 * IF('Employee Preference'!D7&gt;0,1+'Employee Preference'!$W7,1-'Employee Preference'!$X7)</f>
        <v>1.3888888888888888</v>
      </c>
      <c r="E14">
        <f>'Employee Availability'!E7 * IF('Employee Preference'!E7&gt;0,1+'Employee Preference'!$W7,1-'Employee Preference'!$X7)</f>
        <v>0.38888888888888895</v>
      </c>
      <c r="F14">
        <f>'Employee Availability'!F7 * IF('Employee Preference'!F7&gt;0,1+'Employee Preference'!$W7,1-'Employee Preference'!$X7)</f>
        <v>0.38888888888888895</v>
      </c>
      <c r="G14">
        <f>'Employee Availability'!G7 * IF('Employee Preference'!G7&gt;0,1+'Employee Preference'!$W7,1-'Employee Preference'!$X7)</f>
        <v>0.38888888888888895</v>
      </c>
      <c r="H14">
        <f>'Employee Availability'!H7 * IF('Employee Preference'!H7&gt;0,1+'Employee Preference'!$W7,1-'Employee Preference'!$X7)</f>
        <v>1.3888888888888888</v>
      </c>
      <c r="I14">
        <f>'Employee Availability'!I7 * IF('Employee Preference'!I7&gt;0,1+'Employee Preference'!$W7,1-'Employee Preference'!$X7)</f>
        <v>1.3888888888888888</v>
      </c>
      <c r="J14">
        <f>'Employee Availability'!J7 * IF('Employee Preference'!J7&gt;0,1+'Employee Preference'!$W7,1-'Employee Preference'!$X7)</f>
        <v>1.3888888888888888</v>
      </c>
      <c r="K14">
        <f>'Employee Availability'!K7 * IF('Employee Preference'!K7&gt;0,1+'Employee Preference'!$W7,1-'Employee Preference'!$X7)</f>
        <v>1.3888888888888888</v>
      </c>
      <c r="L14">
        <f>'Employee Availability'!L7 * IF('Employee Preference'!L7&gt;0,1+'Employee Preference'!$W7,1-'Employee Preference'!$X7)</f>
        <v>1.3888888888888888</v>
      </c>
      <c r="M14">
        <f>'Employee Availability'!M7 * IF('Employee Preference'!M7&gt;0,1+'Employee Preference'!$W7,1-'Employee Preference'!$X7)</f>
        <v>0.38888888888888895</v>
      </c>
      <c r="N14">
        <f>'Employee Availability'!N7 * IF('Employee Preference'!N7&gt;0,1+'Employee Preference'!$W7,1-'Employee Preference'!$X7)</f>
        <v>0.38888888888888895</v>
      </c>
      <c r="O14">
        <f>'Employee Availability'!O7 * IF('Employee Preference'!O7&gt;0,1+'Employee Preference'!$W7,1-'Employee Preference'!$X7)</f>
        <v>0.38888888888888895</v>
      </c>
      <c r="P14">
        <f>'Employee Availability'!P7 * IF('Employee Preference'!P7&gt;0,1+'Employee Preference'!$W7,1-'Employee Preference'!$X7)</f>
        <v>0.38888888888888895</v>
      </c>
      <c r="Q14">
        <f>'Employee Availability'!Q7 * IF('Employee Preference'!Q7&gt;0,1+'Employee Preference'!$W7,1-'Employee Preference'!$X7)</f>
        <v>1.3888888888888888</v>
      </c>
      <c r="R14">
        <f>'Employee Availability'!R7 * IF('Employee Preference'!R7&gt;0,1+'Employee Preference'!$W7,1-'Employee Preference'!$X7)</f>
        <v>1.3888888888888888</v>
      </c>
      <c r="S14">
        <f>'Employee Availability'!S7 * IF('Employee Preference'!S7&gt;0,1+'Employee Preference'!$W7,1-'Employee Preference'!$X7)</f>
        <v>1.3888888888888888</v>
      </c>
      <c r="T14">
        <f>'Employee Availability'!T7 * IF('Employee Preference'!T7&gt;0,1+'Employee Preference'!$W7,1-'Employee Preference'!$X7)</f>
        <v>1.3888888888888888</v>
      </c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</row>
    <row r="15" spans="1:47">
      <c r="B15" s="4">
        <v>4</v>
      </c>
      <c r="C15">
        <f>'Employee Availability'!C8 * IF('Employee Preference'!C8&gt;0,1+'Employee Preference'!$W8,1-'Employee Preference'!$X8)</f>
        <v>1.4375</v>
      </c>
      <c r="D15">
        <f>'Employee Availability'!D8 * IF('Employee Preference'!D8&gt;0,1+'Employee Preference'!$W8,1-'Employee Preference'!$X8)</f>
        <v>0</v>
      </c>
      <c r="E15">
        <f>'Employee Availability'!E8 * IF('Employee Preference'!E8&gt;0,1+'Employee Preference'!$W8,1-'Employee Preference'!$X8)</f>
        <v>1.4375</v>
      </c>
      <c r="F15">
        <f>'Employee Availability'!F8 * IF('Employee Preference'!F8&gt;0,1+'Employee Preference'!$W8,1-'Employee Preference'!$X8)</f>
        <v>1.4375</v>
      </c>
      <c r="G15">
        <f>'Employee Availability'!G8 * IF('Employee Preference'!G8&gt;0,1+'Employee Preference'!$W8,1-'Employee Preference'!$X8)</f>
        <v>1.4375</v>
      </c>
      <c r="H15">
        <f>'Employee Availability'!H8 * IF('Employee Preference'!H8&gt;0,1+'Employee Preference'!$W8,1-'Employee Preference'!$X8)</f>
        <v>0.4375</v>
      </c>
      <c r="I15">
        <f>'Employee Availability'!I8 * IF('Employee Preference'!I8&gt;0,1+'Employee Preference'!$W8,1-'Employee Preference'!$X8)</f>
        <v>0.4375</v>
      </c>
      <c r="J15">
        <f>'Employee Availability'!J8 * IF('Employee Preference'!J8&gt;0,1+'Employee Preference'!$W8,1-'Employee Preference'!$X8)</f>
        <v>0.4375</v>
      </c>
      <c r="K15">
        <f>'Employee Availability'!K8 * IF('Employee Preference'!K8&gt;0,1+'Employee Preference'!$W8,1-'Employee Preference'!$X8)</f>
        <v>0.4375</v>
      </c>
      <c r="L15">
        <f>'Employee Availability'!L8 * IF('Employee Preference'!L8&gt;0,1+'Employee Preference'!$W8,1-'Employee Preference'!$X8)</f>
        <v>1.4375</v>
      </c>
      <c r="M15">
        <f>'Employee Availability'!M8 * IF('Employee Preference'!M8&gt;0,1+'Employee Preference'!$W8,1-'Employee Preference'!$X8)</f>
        <v>1.4375</v>
      </c>
      <c r="N15">
        <f>'Employee Availability'!N8 * IF('Employee Preference'!N8&gt;0,1+'Employee Preference'!$W8,1-'Employee Preference'!$X8)</f>
        <v>1.4375</v>
      </c>
      <c r="O15">
        <f>'Employee Availability'!O8 * IF('Employee Preference'!O8&gt;0,1+'Employee Preference'!$W8,1-'Employee Preference'!$X8)</f>
        <v>1.4375</v>
      </c>
      <c r="P15">
        <f>'Employee Availability'!P8 * IF('Employee Preference'!P8&gt;0,1+'Employee Preference'!$W8,1-'Employee Preference'!$X8)</f>
        <v>1.4375</v>
      </c>
      <c r="Q15">
        <f>'Employee Availability'!Q8 * IF('Employee Preference'!Q8&gt;0,1+'Employee Preference'!$W8,1-'Employee Preference'!$X8)</f>
        <v>0</v>
      </c>
      <c r="R15">
        <f>'Employee Availability'!R8 * IF('Employee Preference'!R8&gt;0,1+'Employee Preference'!$W8,1-'Employee Preference'!$X8)</f>
        <v>0.4375</v>
      </c>
      <c r="S15">
        <f>'Employee Availability'!S8 * IF('Employee Preference'!S8&gt;0,1+'Employee Preference'!$W8,1-'Employee Preference'!$X8)</f>
        <v>0.4375</v>
      </c>
      <c r="T15">
        <f>'Employee Availability'!T8 * IF('Employee Preference'!T8&gt;0,1+'Employee Preference'!$W8,1-'Employee Preference'!$X8)</f>
        <v>0.4375</v>
      </c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</row>
    <row r="16" spans="1:47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</row>
    <row r="17" spans="1:47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</row>
    <row r="18" spans="1:47">
      <c r="A18" s="23" t="s">
        <v>32</v>
      </c>
      <c r="B18" s="4">
        <v>1</v>
      </c>
      <c r="C18" s="5">
        <f>C6+SUM(P6:T6)</f>
        <v>4</v>
      </c>
      <c r="D18" s="5">
        <f>SUM(Q6:T6)+SUM(C6:D6)</f>
        <v>4</v>
      </c>
      <c r="E18" s="5">
        <f>SUM(R6:T6)+SUM(C6:E6)</f>
        <v>4</v>
      </c>
      <c r="F18" s="5">
        <f>SUM(C6:E6)+F6+T6+S6</f>
        <v>4</v>
      </c>
      <c r="G18" s="5">
        <f>SUM(C6:G6)+T6</f>
        <v>4</v>
      </c>
      <c r="H18" s="5">
        <f>SUM(C6:H6)</f>
        <v>4</v>
      </c>
      <c r="I18" s="5">
        <f t="shared" ref="I18:T18" si="2">SUM(D6:I6)</f>
        <v>4</v>
      </c>
      <c r="J18" s="5">
        <f t="shared" si="2"/>
        <v>4</v>
      </c>
      <c r="K18" s="5">
        <f t="shared" si="2"/>
        <v>4</v>
      </c>
      <c r="L18" s="5">
        <f t="shared" si="2"/>
        <v>4</v>
      </c>
      <c r="M18" s="5">
        <f t="shared" si="2"/>
        <v>4</v>
      </c>
      <c r="N18" s="5">
        <f t="shared" si="2"/>
        <v>4</v>
      </c>
      <c r="O18" s="5">
        <f t="shared" si="2"/>
        <v>4</v>
      </c>
      <c r="P18" s="5">
        <f t="shared" si="2"/>
        <v>4</v>
      </c>
      <c r="Q18" s="5">
        <f t="shared" si="2"/>
        <v>4</v>
      </c>
      <c r="R18" s="5">
        <f t="shared" si="2"/>
        <v>4</v>
      </c>
      <c r="S18" s="5">
        <f t="shared" si="2"/>
        <v>4</v>
      </c>
      <c r="T18" s="5">
        <f t="shared" si="2"/>
        <v>4</v>
      </c>
      <c r="U18" s="23"/>
      <c r="V18" s="23"/>
      <c r="W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</row>
    <row r="19" spans="1:47">
      <c r="A19" s="23"/>
      <c r="B19" s="4">
        <v>2</v>
      </c>
      <c r="C19" s="5">
        <f t="shared" ref="C19:C21" si="3">C7+SUM(P7:T7)</f>
        <v>4</v>
      </c>
      <c r="D19" s="5">
        <f t="shared" ref="D19:D21" si="4">SUM(Q7:T7)+SUM(C7:D7)</f>
        <v>4</v>
      </c>
      <c r="E19" s="5">
        <f t="shared" ref="E19:E21" si="5">SUM(R7:T7)+SUM(C7:E7)</f>
        <v>4</v>
      </c>
      <c r="F19" s="5">
        <f t="shared" ref="F19:F21" si="6">SUM(C7:E7)+F7+T7+S7</f>
        <v>4</v>
      </c>
      <c r="G19" s="5">
        <f t="shared" ref="G19:G21" si="7">SUM(C7:G7)+T7</f>
        <v>4</v>
      </c>
      <c r="H19" s="5">
        <f t="shared" ref="H19:H21" si="8">SUM(C7:H7)</f>
        <v>4</v>
      </c>
      <c r="I19" s="5">
        <f t="shared" ref="I19:I21" si="9">SUM(D7:I7)</f>
        <v>4</v>
      </c>
      <c r="J19" s="5">
        <f t="shared" ref="J19:J21" si="10">SUM(E7:J7)</f>
        <v>4</v>
      </c>
      <c r="K19" s="5">
        <f t="shared" ref="K19:K21" si="11">SUM(F7:K7)</f>
        <v>4</v>
      </c>
      <c r="L19" s="5">
        <f t="shared" ref="L19:L21" si="12">SUM(G7:L7)</f>
        <v>4</v>
      </c>
      <c r="M19" s="5">
        <f t="shared" ref="M19:M21" si="13">SUM(H7:M7)</f>
        <v>4</v>
      </c>
      <c r="N19" s="5">
        <f t="shared" ref="N19:N21" si="14">SUM(I7:N7)</f>
        <v>4</v>
      </c>
      <c r="O19" s="5">
        <f t="shared" ref="O19:O21" si="15">SUM(J7:O7)</f>
        <v>4</v>
      </c>
      <c r="P19" s="5">
        <f t="shared" ref="P19:P21" si="16">SUM(K7:P7)</f>
        <v>4</v>
      </c>
      <c r="Q19" s="5">
        <f t="shared" ref="Q19:Q21" si="17">SUM(L7:Q7)</f>
        <v>4</v>
      </c>
      <c r="R19" s="5">
        <f t="shared" ref="R19:R21" si="18">SUM(M7:R7)</f>
        <v>4</v>
      </c>
      <c r="S19" s="5">
        <f t="shared" ref="S19:S21" si="19">SUM(N7:S7)</f>
        <v>4</v>
      </c>
      <c r="T19" s="5">
        <f t="shared" ref="T19:T21" si="20">SUM(O7:T7)</f>
        <v>4</v>
      </c>
      <c r="U19" s="23"/>
      <c r="V19" s="23"/>
      <c r="W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</row>
    <row r="20" spans="1:47">
      <c r="A20" s="23"/>
      <c r="B20" s="4">
        <v>3</v>
      </c>
      <c r="C20" s="5">
        <f t="shared" si="3"/>
        <v>4</v>
      </c>
      <c r="D20" s="5">
        <f t="shared" si="4"/>
        <v>4</v>
      </c>
      <c r="E20" s="5">
        <f t="shared" si="5"/>
        <v>4</v>
      </c>
      <c r="F20" s="5">
        <f t="shared" si="6"/>
        <v>4</v>
      </c>
      <c r="G20" s="5">
        <f t="shared" si="7"/>
        <v>3</v>
      </c>
      <c r="H20" s="5">
        <f t="shared" si="8"/>
        <v>3</v>
      </c>
      <c r="I20" s="5">
        <f t="shared" si="9"/>
        <v>4</v>
      </c>
      <c r="J20" s="5">
        <f t="shared" si="10"/>
        <v>4</v>
      </c>
      <c r="K20" s="5">
        <f t="shared" si="11"/>
        <v>4</v>
      </c>
      <c r="L20" s="5">
        <f t="shared" si="12"/>
        <v>4</v>
      </c>
      <c r="M20" s="5">
        <f t="shared" si="13"/>
        <v>4</v>
      </c>
      <c r="N20" s="5">
        <f t="shared" si="14"/>
        <v>4</v>
      </c>
      <c r="O20" s="5">
        <f t="shared" si="15"/>
        <v>3</v>
      </c>
      <c r="P20" s="5">
        <f t="shared" si="16"/>
        <v>3</v>
      </c>
      <c r="Q20" s="5">
        <f t="shared" si="17"/>
        <v>3</v>
      </c>
      <c r="R20" s="5">
        <f t="shared" si="18"/>
        <v>3</v>
      </c>
      <c r="S20" s="5">
        <f t="shared" si="19"/>
        <v>4</v>
      </c>
      <c r="T20" s="5">
        <f t="shared" si="20"/>
        <v>4</v>
      </c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</row>
    <row r="21" spans="1:47">
      <c r="A21" s="23"/>
      <c r="B21" s="4">
        <v>4</v>
      </c>
      <c r="C21" s="5">
        <f t="shared" si="3"/>
        <v>2</v>
      </c>
      <c r="D21" s="5">
        <f t="shared" si="4"/>
        <v>1</v>
      </c>
      <c r="E21" s="5">
        <f t="shared" si="5"/>
        <v>2</v>
      </c>
      <c r="F21" s="5">
        <f t="shared" si="6"/>
        <v>3</v>
      </c>
      <c r="G21" s="5">
        <f t="shared" si="7"/>
        <v>4</v>
      </c>
      <c r="H21" s="5">
        <f t="shared" si="8"/>
        <v>4</v>
      </c>
      <c r="I21" s="5">
        <f t="shared" si="9"/>
        <v>3</v>
      </c>
      <c r="J21" s="5">
        <f t="shared" si="10"/>
        <v>3</v>
      </c>
      <c r="K21" s="5">
        <f t="shared" si="11"/>
        <v>2</v>
      </c>
      <c r="L21" s="5">
        <f t="shared" si="12"/>
        <v>1</v>
      </c>
      <c r="M21" s="5">
        <f t="shared" si="13"/>
        <v>1</v>
      </c>
      <c r="N21" s="5">
        <f t="shared" si="14"/>
        <v>2</v>
      </c>
      <c r="O21" s="5">
        <f t="shared" si="15"/>
        <v>3</v>
      </c>
      <c r="P21" s="5">
        <f t="shared" si="16"/>
        <v>4</v>
      </c>
      <c r="Q21" s="5">
        <f t="shared" si="17"/>
        <v>4</v>
      </c>
      <c r="R21" s="5">
        <f t="shared" si="18"/>
        <v>4</v>
      </c>
      <c r="S21" s="5">
        <f t="shared" si="19"/>
        <v>3</v>
      </c>
      <c r="T21" s="5">
        <f t="shared" si="20"/>
        <v>2</v>
      </c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</row>
    <row r="22" spans="1:47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</row>
    <row r="23" spans="1:47">
      <c r="A23" s="23" t="s">
        <v>30</v>
      </c>
      <c r="B23" s="4">
        <v>1</v>
      </c>
      <c r="C23" s="23">
        <v>4</v>
      </c>
      <c r="D23" s="23">
        <v>4</v>
      </c>
      <c r="E23" s="23">
        <v>4</v>
      </c>
      <c r="F23" s="23">
        <v>4</v>
      </c>
      <c r="G23" s="23">
        <v>4</v>
      </c>
      <c r="H23" s="23">
        <v>4</v>
      </c>
      <c r="I23" s="23">
        <v>4</v>
      </c>
      <c r="J23" s="23">
        <v>4</v>
      </c>
      <c r="K23" s="23">
        <v>4</v>
      </c>
      <c r="L23" s="23">
        <v>4</v>
      </c>
      <c r="M23" s="23">
        <v>4</v>
      </c>
      <c r="N23" s="23">
        <v>4</v>
      </c>
      <c r="O23" s="23">
        <v>4</v>
      </c>
      <c r="P23" s="23">
        <v>4</v>
      </c>
      <c r="Q23" s="23">
        <v>4</v>
      </c>
      <c r="R23" s="23">
        <v>4</v>
      </c>
      <c r="S23" s="23">
        <v>4</v>
      </c>
      <c r="T23" s="23">
        <v>4</v>
      </c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</row>
    <row r="24" spans="1:47">
      <c r="A24" s="23"/>
      <c r="B24" s="4">
        <v>2</v>
      </c>
      <c r="C24" s="23">
        <v>4</v>
      </c>
      <c r="D24" s="23">
        <v>4</v>
      </c>
      <c r="E24" s="23">
        <v>4</v>
      </c>
      <c r="F24" s="23">
        <v>4</v>
      </c>
      <c r="G24" s="23">
        <v>4</v>
      </c>
      <c r="H24" s="23">
        <v>4</v>
      </c>
      <c r="I24" s="23">
        <v>4</v>
      </c>
      <c r="J24" s="23">
        <v>4</v>
      </c>
      <c r="K24" s="23">
        <v>4</v>
      </c>
      <c r="L24" s="23">
        <v>4</v>
      </c>
      <c r="M24" s="23">
        <v>4</v>
      </c>
      <c r="N24" s="23">
        <v>4</v>
      </c>
      <c r="O24" s="23">
        <v>4</v>
      </c>
      <c r="P24" s="23">
        <v>4</v>
      </c>
      <c r="Q24" s="23">
        <v>4</v>
      </c>
      <c r="R24" s="23">
        <v>4</v>
      </c>
      <c r="S24" s="23">
        <v>4</v>
      </c>
      <c r="T24" s="23">
        <v>4</v>
      </c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</row>
    <row r="25" spans="1:47">
      <c r="A25" s="23"/>
      <c r="B25" s="4">
        <v>3</v>
      </c>
      <c r="C25" s="23">
        <v>4</v>
      </c>
      <c r="D25" s="23">
        <v>4</v>
      </c>
      <c r="E25" s="23">
        <v>4</v>
      </c>
      <c r="F25" s="23">
        <v>4</v>
      </c>
      <c r="G25" s="23">
        <v>4</v>
      </c>
      <c r="H25" s="23">
        <v>4</v>
      </c>
      <c r="I25" s="23">
        <v>4</v>
      </c>
      <c r="J25" s="23">
        <v>4</v>
      </c>
      <c r="K25" s="23">
        <v>4</v>
      </c>
      <c r="L25" s="23">
        <v>4</v>
      </c>
      <c r="M25" s="23">
        <v>4</v>
      </c>
      <c r="N25" s="23">
        <v>4</v>
      </c>
      <c r="O25" s="23">
        <v>4</v>
      </c>
      <c r="P25" s="23">
        <v>4</v>
      </c>
      <c r="Q25" s="23">
        <v>4</v>
      </c>
      <c r="R25" s="23">
        <v>4</v>
      </c>
      <c r="S25" s="23">
        <v>4</v>
      </c>
      <c r="T25" s="23">
        <v>4</v>
      </c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</row>
    <row r="26" spans="1:47">
      <c r="A26" s="23"/>
      <c r="B26" s="4">
        <v>4</v>
      </c>
      <c r="C26" s="23">
        <v>4</v>
      </c>
      <c r="D26" s="23">
        <v>4</v>
      </c>
      <c r="E26" s="23">
        <v>4</v>
      </c>
      <c r="F26" s="23">
        <v>4</v>
      </c>
      <c r="G26" s="23">
        <v>4</v>
      </c>
      <c r="H26" s="23">
        <v>4</v>
      </c>
      <c r="I26" s="23">
        <v>4</v>
      </c>
      <c r="J26" s="23">
        <v>4</v>
      </c>
      <c r="K26" s="23">
        <v>4</v>
      </c>
      <c r="L26" s="23">
        <v>4</v>
      </c>
      <c r="M26" s="23">
        <v>4</v>
      </c>
      <c r="N26" s="23">
        <v>4</v>
      </c>
      <c r="O26" s="23">
        <v>4</v>
      </c>
      <c r="P26" s="23">
        <v>4</v>
      </c>
      <c r="Q26" s="23">
        <v>4</v>
      </c>
      <c r="R26" s="23">
        <v>4</v>
      </c>
      <c r="S26" s="23">
        <v>4</v>
      </c>
      <c r="T26" s="23">
        <v>4</v>
      </c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</row>
    <row r="27" spans="1:47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</row>
    <row r="28" spans="1:47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</row>
    <row r="29" spans="1:47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</row>
    <row r="30" spans="1:47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</row>
    <row r="31" spans="1:47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</row>
    <row r="32" spans="1:47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</row>
    <row r="33" spans="1:47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</row>
    <row r="34" spans="1:47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</row>
    <row r="35" spans="1:47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</row>
    <row r="36" spans="1:47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</row>
    <row r="37" spans="1:47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</row>
    <row r="38" spans="1:47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</row>
    <row r="39" spans="1:47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</row>
    <row r="40" spans="1:47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</row>
    <row r="41" spans="1:47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</row>
    <row r="42" spans="1:47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</row>
    <row r="43" spans="1:47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</row>
    <row r="44" spans="1:47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</row>
    <row r="45" spans="1:47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</row>
    <row r="46" spans="1:47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</row>
    <row r="47" spans="1:47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</row>
    <row r="48" spans="1:47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</row>
    <row r="49" spans="2:34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</row>
    <row r="50" spans="2:34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</row>
    <row r="51" spans="2:34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</row>
    <row r="52" spans="2:34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</row>
    <row r="53" spans="2:34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</row>
    <row r="54" spans="2:34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</row>
    <row r="55" spans="2:34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</row>
    <row r="56" spans="2:34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</row>
    <row r="57" spans="2:34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</row>
    <row r="58" spans="2:34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</row>
    <row r="59" spans="2:34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</row>
    <row r="60" spans="2:34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</row>
    <row r="61" spans="2:34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</row>
    <row r="62" spans="2:34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</row>
    <row r="63" spans="2:34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</row>
    <row r="64" spans="2:34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</row>
    <row r="65" spans="2:34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</row>
    <row r="66" spans="2:34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</row>
    <row r="67" spans="2:34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</row>
    <row r="68" spans="2:34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</row>
    <row r="69" spans="2:34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</row>
    <row r="70" spans="2:34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</row>
    <row r="71" spans="2:34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</row>
    <row r="72" spans="2:34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</row>
    <row r="73" spans="2:34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</row>
    <row r="74" spans="2:34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</row>
    <row r="75" spans="2:34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</row>
    <row r="76" spans="2:34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</row>
    <row r="77" spans="2:34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</row>
    <row r="78" spans="2:34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</row>
    <row r="79" spans="2:34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</row>
    <row r="80" spans="2:34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</row>
    <row r="81" spans="2:34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</row>
    <row r="82" spans="2:34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</row>
    <row r="83" spans="2:34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</row>
    <row r="84" spans="2:34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</row>
    <row r="85" spans="2:34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</row>
    <row r="86" spans="2:34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</row>
    <row r="87" spans="2:34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</row>
    <row r="88" spans="2:34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</row>
    <row r="89" spans="2:34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</row>
    <row r="90" spans="2:34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</row>
    <row r="91" spans="2:34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</row>
    <row r="92" spans="2:34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</row>
    <row r="93" spans="2:34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</row>
    <row r="94" spans="2:34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</row>
    <row r="95" spans="2:34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</row>
    <row r="96" spans="2:34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</row>
    <row r="97" spans="2:34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</row>
    <row r="98" spans="2:34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</row>
    <row r="99" spans="2:34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</row>
    <row r="100" spans="2:34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</row>
    <row r="101" spans="2:34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</row>
    <row r="102" spans="2:34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</row>
    <row r="103" spans="2:34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</row>
    <row r="104" spans="2:34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</row>
    <row r="105" spans="2:34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</row>
    <row r="106" spans="2:34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</row>
    <row r="107" spans="2:34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</row>
    <row r="108" spans="2:34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</row>
    <row r="109" spans="2:34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</row>
    <row r="110" spans="2:34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</row>
  </sheetData>
  <mergeCells count="8">
    <mergeCell ref="AG1:AL1"/>
    <mergeCell ref="AM1:AR1"/>
    <mergeCell ref="C10:K10"/>
    <mergeCell ref="C1:H1"/>
    <mergeCell ref="I1:N1"/>
    <mergeCell ref="O1:T1"/>
    <mergeCell ref="U1:Z1"/>
    <mergeCell ref="AA1:AF1"/>
  </mergeCells>
  <conditionalFormatting sqref="C4:U4 X4:AR4 V5:W5">
    <cfRule type="colorScale" priority="13">
      <colorScale>
        <cfvo type="min"/>
        <cfvo type="max"/>
        <color rgb="FFFCFCFF"/>
        <color rgb="FF63BE7B"/>
      </colorScale>
    </cfRule>
  </conditionalFormatting>
  <conditionalFormatting sqref="C6:T9 X6:AR9">
    <cfRule type="cellIs" dxfId="10" priority="12" operator="equal">
      <formula>1</formula>
    </cfRule>
  </conditionalFormatting>
  <conditionalFormatting sqref="C27:O62">
    <cfRule type="cellIs" dxfId="9" priority="9" operator="greaterThan">
      <formula>3</formula>
    </cfRule>
    <cfRule type="cellIs" dxfId="8" priority="10" operator="greaterThan">
      <formula>0</formula>
    </cfRule>
  </conditionalFormatting>
  <conditionalFormatting sqref="T27:AF62 U21:AF26">
    <cfRule type="cellIs" dxfId="7" priority="7" operator="greaterThan">
      <formula>3</formula>
    </cfRule>
    <cfRule type="cellIs" dxfId="6" priority="8" operator="greaterThan">
      <formula>0</formula>
    </cfRule>
  </conditionalFormatting>
  <conditionalFormatting sqref="C65:O106">
    <cfRule type="cellIs" dxfId="5" priority="4" operator="greaterThan">
      <formula>0</formula>
    </cfRule>
    <cfRule type="cellIs" dxfId="4" priority="5" operator="greaterThan">
      <formula>3</formula>
    </cfRule>
    <cfRule type="cellIs" dxfId="3" priority="6" operator="greaterThan">
      <formula>0</formula>
    </cfRule>
  </conditionalFormatting>
  <conditionalFormatting sqref="C12:AR1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8:T26">
    <cfRule type="cellIs" dxfId="0" priority="1" operator="greaterThan">
      <formula>4</formula>
    </cfRule>
  </conditionalFormatting>
  <pageMargins left="0.75" right="0.75" top="1" bottom="1" header="0.5" footer="0.5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Employee Hours</vt:lpstr>
      <vt:lpstr>Employee Availability</vt:lpstr>
      <vt:lpstr>Employee Preference</vt:lpstr>
      <vt:lpstr>Assignments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Thomas</dc:creator>
  <cp:lastModifiedBy>Philip Thomas</cp:lastModifiedBy>
  <dcterms:created xsi:type="dcterms:W3CDTF">2013-04-23T02:43:37Z</dcterms:created>
  <dcterms:modified xsi:type="dcterms:W3CDTF">2013-05-05T19:21:01Z</dcterms:modified>
</cp:coreProperties>
</file>